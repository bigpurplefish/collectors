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202300"/>
  <mc:AlternateContent xmlns:mc="http://schemas.openxmlformats.org/markup-compatibility/2006">
    <mc:Choice Requires="x15">
      <x15ac:absPath xmlns:x15ac="http://schemas.microsoft.com/office/spreadsheetml/2010/11/ac" url="/Users/moosemarketer/Code/garoppos/collectors/purinamills/input/"/>
    </mc:Choice>
  </mc:AlternateContent>
  <xr:revisionPtr revIDLastSave="0" documentId="13_ncr:1_{092037D1-FC33-D240-97C3-72B161BA5B0E}" xr6:coauthVersionLast="47" xr6:coauthVersionMax="47" xr10:uidLastSave="{00000000-0000-0000-0000-000000000000}"/>
  <bookViews>
    <workbookView xWindow="36000" yWindow="1460" windowWidth="38080" windowHeight="20780" xr2:uid="{E6343A4B-923C-2A4F-A319-EF062984370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63" i="1" l="1"/>
  <c r="C10" i="1"/>
  <c r="C38" i="1"/>
  <c r="C2" i="1"/>
  <c r="C3" i="1"/>
  <c r="C4" i="1"/>
  <c r="C5" i="1"/>
  <c r="C6" i="1"/>
  <c r="C7" i="1"/>
  <c r="C8" i="1"/>
  <c r="C9" i="1"/>
  <c r="C11" i="1"/>
  <c r="C12" i="1"/>
  <c r="C13" i="1"/>
  <c r="C14" i="1"/>
  <c r="C15" i="1"/>
  <c r="C16" i="1"/>
  <c r="C17" i="1"/>
  <c r="C18" i="1"/>
  <c r="C19" i="1"/>
  <c r="C20" i="1"/>
  <c r="C21" i="1"/>
  <c r="C22" i="1"/>
  <c r="C23" i="1"/>
  <c r="C24" i="1"/>
  <c r="C25" i="1"/>
  <c r="C26" i="1"/>
  <c r="C27" i="1"/>
  <c r="C28" i="1"/>
  <c r="C29" i="1"/>
  <c r="C30" i="1"/>
  <c r="C31" i="1"/>
  <c r="C32" i="1"/>
  <c r="C33" i="1"/>
  <c r="C34" i="1"/>
  <c r="C35" i="1"/>
  <c r="C36" i="1"/>
  <c r="C37" i="1"/>
  <c r="C39" i="1"/>
  <c r="C40" i="1"/>
  <c r="C41" i="1"/>
  <c r="C42" i="1"/>
  <c r="C43" i="1"/>
  <c r="C44" i="1"/>
  <c r="C45" i="1"/>
  <c r="C46" i="1"/>
  <c r="C47" i="1"/>
  <c r="C48" i="1"/>
  <c r="C50" i="1"/>
  <c r="C49" i="1"/>
  <c r="C51" i="1"/>
  <c r="C52" i="1"/>
  <c r="C53" i="1"/>
  <c r="C54" i="1"/>
  <c r="C55" i="1"/>
  <c r="C56" i="1"/>
  <c r="C57" i="1"/>
  <c r="C58" i="1"/>
  <c r="C59" i="1"/>
  <c r="C60" i="1"/>
  <c r="C61" i="1"/>
  <c r="C62" i="1"/>
  <c r="AJ62" i="1"/>
  <c r="AJ61" i="1"/>
  <c r="AJ60" i="1"/>
  <c r="AJ59" i="1"/>
  <c r="AJ58" i="1"/>
  <c r="AJ57" i="1"/>
  <c r="AJ56" i="1"/>
  <c r="AJ55" i="1"/>
  <c r="AJ54" i="1"/>
  <c r="AJ53" i="1"/>
  <c r="AJ52" i="1"/>
  <c r="AJ51" i="1"/>
  <c r="AJ49" i="1"/>
  <c r="AJ50" i="1"/>
  <c r="AJ48" i="1"/>
  <c r="AJ47" i="1"/>
  <c r="AJ46" i="1"/>
  <c r="AJ45" i="1"/>
  <c r="AJ44" i="1"/>
  <c r="AJ43" i="1"/>
  <c r="AJ42" i="1"/>
  <c r="AJ41" i="1"/>
  <c r="AJ40" i="1"/>
  <c r="AJ39" i="1"/>
  <c r="AJ37" i="1"/>
  <c r="AJ36" i="1"/>
  <c r="AJ35" i="1"/>
  <c r="AJ34" i="1"/>
  <c r="AJ33" i="1"/>
  <c r="AJ32" i="1"/>
  <c r="AJ31" i="1"/>
  <c r="AJ30" i="1"/>
  <c r="AJ29" i="1"/>
  <c r="AJ28" i="1"/>
  <c r="AJ27" i="1"/>
  <c r="AJ26" i="1"/>
  <c r="AJ25" i="1"/>
  <c r="AJ24" i="1"/>
  <c r="AJ23" i="1"/>
  <c r="AJ22" i="1"/>
  <c r="AJ21" i="1"/>
  <c r="AJ20" i="1"/>
  <c r="AJ19" i="1"/>
  <c r="AJ18" i="1"/>
  <c r="AJ17" i="1"/>
  <c r="AJ16" i="1"/>
  <c r="AJ15" i="1"/>
  <c r="AJ14" i="1"/>
  <c r="AJ13" i="1"/>
  <c r="AJ12" i="1"/>
  <c r="AJ11" i="1"/>
  <c r="AJ9" i="1"/>
  <c r="AJ8" i="1"/>
  <c r="AJ7" i="1"/>
  <c r="AJ6" i="1"/>
  <c r="AJ5" i="1"/>
  <c r="AJ4" i="1"/>
  <c r="AJ3" i="1"/>
  <c r="AJ2" i="1"/>
  <c r="AJ38" i="1"/>
  <c r="AJ10" i="1"/>
</calcChain>
</file>

<file path=xl/sharedStrings.xml><?xml version="1.0" encoding="utf-8"?>
<sst xmlns="http://schemas.openxmlformats.org/spreadsheetml/2006/main" count="1811" uniqueCount="1158">
  <si>
    <t>15325</t>
  </si>
  <si>
    <t>FEED</t>
  </si>
  <si>
    <t>PURINA MILLS</t>
  </si>
  <si>
    <t>https://www.purinamills.com</t>
  </si>
  <si>
    <t>804273043388.0, 804273082424</t>
  </si>
  <si>
    <t>ESA</t>
  </si>
  <si>
    <t>HORSE FEED</t>
  </si>
  <si>
    <t>33</t>
  </si>
  <si>
    <t>1023</t>
  </si>
  <si>
    <t>828.02</t>
  </si>
  <si>
    <t>479</t>
  </si>
  <si>
    <t>14573.38</t>
  </si>
  <si>
    <t>12300.98</t>
  </si>
  <si>
    <t>50.97595584220584</t>
  </si>
  <si>
    <t>61.32280098280098</t>
  </si>
  <si>
    <t>25.09157</t>
  </si>
  <si>
    <t>31</t>
  </si>
  <si>
    <t>5.908429999999999</t>
  </si>
  <si>
    <t>0.1905945161290322</t>
  </si>
  <si>
    <t>Match found</t>
  </si>
  <si>
    <t>Purina Mills Equine Senior Active 50 lb. Bag</t>
  </si>
  <si>
    <t>Purina</t>
  </si>
  <si>
    <t>333307</t>
  </si>
  <si>
    <t>Sporting Goods &gt; Outdoor Recreation &gt; Equestrian &gt; Horse Care &gt; Horse Treats</t>
  </si>
  <si>
    <t>One Size</t>
  </si>
  <si>
    <t>['https://i5.walmartimages.com/asr/8597e795-7186-4fc2-bf74-b9304e6e5a09_1.b7e19196aa5bd902a219a1e5dd2ee484.jpeg?odnHeight=450&amp;odnWidth=450&amp;odnBg=ffffff', 'https://m.media-amazon.com/images/I/51SrYKcN26L._UL320_.jpg']</t>
  </si>
  <si>
    <t>13423</t>
  </si>
  <si>
    <t>804273030470.0, 804273088709</t>
  </si>
  <si>
    <t>6</t>
  </si>
  <si>
    <t>155.94</t>
  </si>
  <si>
    <t>121.74</t>
  </si>
  <si>
    <t>144</t>
  </si>
  <si>
    <t>3625.15</t>
  </si>
  <si>
    <t>2978.31</t>
  </si>
  <si>
    <t>41.70781690140845</t>
  </si>
  <si>
    <t>48.23978873239437</t>
  </si>
  <si>
    <t>20.23018</t>
  </si>
  <si>
    <t>25.99</t>
  </si>
  <si>
    <t>5.759819999999998</t>
  </si>
  <si>
    <t>0.2216167756829549</t>
  </si>
  <si>
    <t>Purina Animal Nutrition Purina Mini Horse and Pony 50lb Textured</t>
  </si>
  <si>
    <t>0045854</t>
  </si>
  <si>
    <t>Contains a high amount of beet pulp inside the pellet as an excellent source of fermentable fiber for slow release energy| Provides essential nutrients that support proper digestion| Superior consistent nutrition| Premium forulation with high qualty ingredients for excellent palatability| May help reduce the risk of adverse health effects caused by the management error of overfeeding| Proprietary amino acids building vlocks of proteins that support strong muscle growth shiny coat and healthy hooves| 50 lb bag Textured| 0045854|</t>
  </si>
  <si>
    <t>Toys &amp; Games &gt; Toys &gt; Dolls, Playsets &amp; Toy Figures &gt; Action &amp; Toy Figures</t>
  </si>
  <si>
    <t>['https://i5.walmartimages.com/asr/cd76b2ad-23ff-41c5-93fe-ae6f4d2da23e.75daf9326ba67ced15a3bde8ff2d4431.jpeg?odnHeight=450&amp;odnWidth=450&amp;odnBg=ffffff', 'https://i5.walmartimages.com/asr/1dad919e-5adb-4ebf-9b85-4590c65ff1ae_1.ff5814dbc8a4fd6d2475447d5b1d357e.jpeg?odnHeight=450&amp;odnWidth=450&amp;odnBg=ffffff']</t>
  </si>
  <si>
    <t>7676</t>
  </si>
  <si>
    <t>804273058207</t>
  </si>
  <si>
    <t>HOR</t>
  </si>
  <si>
    <t>-3</t>
  </si>
  <si>
    <t>-164.97</t>
  </si>
  <si>
    <t>-135.75</t>
  </si>
  <si>
    <t>223</t>
  </si>
  <si>
    <t>11841.79</t>
  </si>
  <si>
    <t>10067.96</t>
  </si>
  <si>
    <t>45.14780269058296</t>
  </si>
  <si>
    <t>53.10219730941704</t>
  </si>
  <si>
    <t>45.25</t>
  </si>
  <si>
    <t>54.99</t>
  </si>
  <si>
    <t>9.740000000000002</t>
  </si>
  <si>
    <t>0.1771231132933261</t>
  </si>
  <si>
    <t>Purina Animal Nutrition Amplify Equine Supplements 50lb Bag</t>
  </si>
  <si>
    <t>0025297 AMPLIFY EQUINE SUPPLEME</t>
  </si>
  <si>
    <t>Animals &amp; Pet Supplies &gt; Pet Supplies</t>
  </si>
  <si>
    <t>['https://i5.walmartimages.com/asr/69412139-1580-41d1-bf0d-628fb386782b.b20e558cc9932f7f68581f5013cea692.jpeg?odnHeight=450&amp;odnWidth=450&amp;odnBg=ffffff']</t>
  </si>
  <si>
    <t>43062</t>
  </si>
  <si>
    <t>HORSE</t>
  </si>
  <si>
    <t>804273045672</t>
  </si>
  <si>
    <t>4</t>
  </si>
  <si>
    <t>67.96</t>
  </si>
  <si>
    <t>53.96</t>
  </si>
  <si>
    <t>84</t>
  </si>
  <si>
    <t>1562.51</t>
  </si>
  <si>
    <t>1133.62</t>
  </si>
  <si>
    <t>27.61</t>
  </si>
  <si>
    <t>37.58182926829268</t>
  </si>
  <si>
    <t>13.49</t>
  </si>
  <si>
    <t>16.99</t>
  </si>
  <si>
    <t>3.499999999999998</t>
  </si>
  <si>
    <t>0.2060035314891112</t>
  </si>
  <si>
    <t>Lookup failed</t>
  </si>
  <si>
    <t>45710</t>
  </si>
  <si>
    <t>CHICKEN FEED</t>
  </si>
  <si>
    <t>CRUMBLE</t>
  </si>
  <si>
    <t>804273104546</t>
  </si>
  <si>
    <t>1</t>
  </si>
  <si>
    <t>15.99</t>
  </si>
  <si>
    <t>11.35</t>
  </si>
  <si>
    <t>39</t>
  </si>
  <si>
    <t>602.11</t>
  </si>
  <si>
    <t>435.65</t>
  </si>
  <si>
    <t>11.17051282051282</t>
  </si>
  <si>
    <t>15.43871794871795</t>
  </si>
  <si>
    <t>4.640000000000001</t>
  </si>
  <si>
    <t>0.2901813633520951</t>
  </si>
  <si>
    <t>313</t>
  </si>
  <si>
    <t>CAT FOOD</t>
  </si>
  <si>
    <t>742869003692</t>
  </si>
  <si>
    <t>cac</t>
  </si>
  <si>
    <t>10</t>
  </si>
  <si>
    <t>429.9</t>
  </si>
  <si>
    <t>341.2</t>
  </si>
  <si>
    <t>146</t>
  </si>
  <si>
    <t>6183.96</t>
  </si>
  <si>
    <t>4938.4</t>
  </si>
  <si>
    <t>67.64327702702704</t>
  </si>
  <si>
    <t>84.75089714714716</t>
  </si>
  <si>
    <t>34.12</t>
  </si>
  <si>
    <t>42.99</t>
  </si>
  <si>
    <t>8.870000000000005</t>
  </si>
  <si>
    <t>0.2063270528029775</t>
  </si>
  <si>
    <t>Purina Animal Nutrition Country Acres Farm Cat 40LB</t>
  </si>
  <si>
    <t>3006751-705</t>
  </si>
  <si>
    <t>40 lbs</t>
  </si>
  <si>
    <t>['https://i5.walmartimages.com/asr/b8746b96-85e9-4d81-9173-897a4b7c8b4f.cddc04a2f94f27a1a6685a2d1c223296.jpeg?odnHeight=450&amp;odnWidth=450&amp;odnBg=ffffff']</t>
  </si>
  <si>
    <t>48</t>
  </si>
  <si>
    <t>883576002926</t>
  </si>
  <si>
    <t>cc5</t>
  </si>
  <si>
    <t>LIVESTOCK (CORN)</t>
  </si>
  <si>
    <t>46</t>
  </si>
  <si>
    <t>735.54</t>
  </si>
  <si>
    <t>468.36</t>
  </si>
  <si>
    <t>706</t>
  </si>
  <si>
    <t>11895.33</t>
  </si>
  <si>
    <t>7840.14</t>
  </si>
  <si>
    <t>11.10501416430595</t>
  </si>
  <si>
    <t>16.84890934844193</t>
  </si>
  <si>
    <t>10.18171</t>
  </si>
  <si>
    <t>5.80829</t>
  </si>
  <si>
    <t>0.363245153220763</t>
  </si>
  <si>
    <t>Purina Mills Coarse Crack Corn 50 lb. Bag</t>
  </si>
  <si>
    <t>100164</t>
  </si>
  <si>
    <t>Animals &amp; Pet Supplies &gt; Pet Supplies &gt; Dog Supplies &gt; Dog Food</t>
  </si>
  <si>
    <t>['https://i5.walmartimages.com/asr/80e55b94-e9e6-43ff-8dd4-ed37fd3f2c43_1.517c4ed118fcbb1871acb42f57a865c1.jpeg?odnHeight=450&amp;odnWidth=450&amp;odnBg=ffffff']</t>
  </si>
  <si>
    <t>39688</t>
  </si>
  <si>
    <t>LIVESTOCK</t>
  </si>
  <si>
    <t>804273059624</t>
  </si>
  <si>
    <t>17</t>
  </si>
  <si>
    <t>373.83</t>
  </si>
  <si>
    <t>278.89</t>
  </si>
  <si>
    <t>122</t>
  </si>
  <si>
    <t>2533.72</t>
  </si>
  <si>
    <t>2021.18</t>
  </si>
  <si>
    <t>16.56704918032787</t>
  </si>
  <si>
    <t>20.76819672131147</t>
  </si>
  <si>
    <t>16.40529</t>
  </si>
  <si>
    <t>21.99</t>
  </si>
  <si>
    <t>5.584709999999998</t>
  </si>
  <si>
    <t>0.2539658935879944</t>
  </si>
  <si>
    <t>Purina Duck Feed Pellets  Niacin for Ducks  Duck Food for Wild Ducks &amp; Pet Ducks  Duckling Starter Feed &amp; All Life Stages  Waterfowl Feed  Baby Duck Food  40 lbs</t>
  </si>
  <si>
    <t>3004428-205</t>
  </si>
  <si>
    <t>Feed your ducks from day one into happy adulthood. Purina Duck Feed is specifically formulated to meet the elevated niacin levels ducklings need to grow and adult ducks need to maintain proper health. Our balanced duck food for wild ducks formula is complete and can be fed to ducks as their sole diet from the moment they hatch through their entire life. Whether you have baby ducks or laying ducks  this duckling starter feed is perfect for all life stages. Supplement this diet for laying ducks with Purina Oyster Shell for added calcium. Designed as waterfowl pellets  this waterfowl feed is easy for ducks to consume and enjoy. Purina Duck Food is specially formulated to be a balanced diet of the specific nutrients ducklings need. Ducks require more niacin than other poultry species to keep them healthy. Purina duck food for wild pet ducks contains at least 55 ppm niacin to meet the higher requirements of niacin for ducklings. Your ducks have unique nutritional needs and Purina Duck Feed is just the solution.</t>
  </si>
  <si>
    <t>['https://i5.walmartimages.com/asr/cbfaeccc-83fa-4757-9e33-28a445230ba2.683e2620e55f88d9acf881d2b5b1ff61.jpeg?odnHeight=450&amp;odnWidth=450&amp;odnBg=ffffff', 'https://m.media-amazon.com/images/I/4185ThergwL._UL320_.jpg']</t>
  </si>
  <si>
    <t>90</t>
  </si>
  <si>
    <t>804273038889</t>
  </si>
  <si>
    <t>27</t>
  </si>
  <si>
    <t>985.23</t>
  </si>
  <si>
    <t>789.75</t>
  </si>
  <si>
    <t>566</t>
  </si>
  <si>
    <t>19273.24</t>
  </si>
  <si>
    <t>16437.43</t>
  </si>
  <si>
    <t>29.04139575971731</t>
  </si>
  <si>
    <t>34.05166077738516</t>
  </si>
  <si>
    <t>29.25</t>
  </si>
  <si>
    <t>36.49</t>
  </si>
  <si>
    <t>7.240000000000002</t>
  </si>
  <si>
    <t>0.198410523431077</t>
  </si>
  <si>
    <t>Purina 3002564-206 Enrich Plus Ration Balancing Horse Feed  50 lb. Bag</t>
  </si>
  <si>
    <t>3002564-206</t>
  </si>
  <si>
    <t xml:space="preserve">Easy Keepers: Easy Keepers who maintain body weight and condition on hay or pasture alone  or are not able to eat the minimum recommended amount of another feed without gaining unwanted weight Young  Growing Horses: Young  Growing Horses who may require concentrated nutrition to support growth and development  but with fewer calories to support a slower growth rate or reduced body condition when recommended Stallions and Early Gestation Mares: Stallions and early Gestation Mares that may need a more concentrated source of nutrition; also appropriate for working horses who may need protein  vitamin  and mineral supplementation Concentrated Formula - to provide required nutrition without excess calories. Corn-free and Oat-Free - Ideal feed for horses with specific sensitivities Low Starch and Sugar - may help horses who have difficulty maintaining blood sugar levels. Added Vegetable Oils - For a shinier  healthier hair coat  skin and hooves Added Antioxidants - Including Selenium and Vitamin E to help address </t>
  </si>
  <si>
    <t>Animals &amp; Pet Supplies &gt; Pet Supplies &gt; Small Animal Supplies &gt; Small Animal Food</t>
  </si>
  <si>
    <t>['https://i5.walmartimages.com/asr/4837a540-5a87-4bee-8036-1915eacc7831.78b77c561f28cf60563fc9720e145a1f.jpeg?odnHeight=450&amp;odnWidth=450&amp;odnBg=ffffff', 'https://m.media-amazon.com/images/I/51fDdh5s7CL._UL320_.jpg']</t>
  </si>
  <si>
    <t>55</t>
  </si>
  <si>
    <t>804273082417</t>
  </si>
  <si>
    <t>ES</t>
  </si>
  <si>
    <t>49</t>
  </si>
  <si>
    <t>1421</t>
  </si>
  <si>
    <t>1155.36</t>
  </si>
  <si>
    <t>2921</t>
  </si>
  <si>
    <t>82254.91</t>
  </si>
  <si>
    <t>70760.84</t>
  </si>
  <si>
    <t>24.22486819582335</t>
  </si>
  <si>
    <t>28.15984594317015</t>
  </si>
  <si>
    <t>23.57409</t>
  </si>
  <si>
    <t>29</t>
  </si>
  <si>
    <t>5.425909999999998</t>
  </si>
  <si>
    <t>0.1871003448275861</t>
  </si>
  <si>
    <t>Purina Animal Nutrition Equine Senior 50LB</t>
  </si>
  <si>
    <t>3006848-506</t>
  </si>
  <si>
    <t>#1 Veterinarian Recommended Senior Horse Feed - Four out of five equine veterinarians recommend Purina s Equine Senior Horse Feed to their clients with senior horses  according to an independent study conducted in 2019 Exclusive ActivAge Prebiotic Technology - Patented formula includes ActivAge Prebiotic Technology scientifically studied in senior horses to support optimal function of the aging immune system and optimal mobility in aged horses; the controlled sugar and starch formula  along with ActivAge Prebiotic Technology  supports an appropriate metabolic response to feeding Purina Amplify High-Fat Nugget - Multiple sources of fatty acids including stabilized rice bran  flaxseed  and vegetable oils help support body condition  shine and bloom Outlast Gastric Support - Scientifically shown to support gastric health and comfort and proper pH Supports Digestion and Health - Easy to chew with highly digestible fiber to meet the needs of horses that cannot chew or digest long-stemmed forage Easy to Chew - Eas</t>
  </si>
  <si>
    <t>Animals &amp; Pet Supplies &gt; Pet Supplies &gt; Dog Supplies</t>
  </si>
  <si>
    <t>[50 lbs]</t>
  </si>
  <si>
    <t>['https://i5.walmartimages.com/asr/df3f3244-7822-47e9-9eed-1a42c51f48f7.dd725e354f178cd8f049733a89745df5.jpeg?odnHeight=450&amp;odnWidth=450&amp;odnBg=ffffff']</t>
  </si>
  <si>
    <t>1084</t>
  </si>
  <si>
    <t>MAZURI</t>
  </si>
  <si>
    <t>804273000923</t>
  </si>
  <si>
    <t>-2</t>
  </si>
  <si>
    <t>-83</t>
  </si>
  <si>
    <t>-63.48</t>
  </si>
  <si>
    <t>7</t>
  </si>
  <si>
    <t>290.5</t>
  </si>
  <si>
    <t>220.76</t>
  </si>
  <si>
    <t>31.53714285714286</t>
  </si>
  <si>
    <t>41.5</t>
  </si>
  <si>
    <t>31.74</t>
  </si>
  <si>
    <t>9.760000000000002</t>
  </si>
  <si>
    <t>0.2351807228915663</t>
  </si>
  <si>
    <t>Purina Game Fish Chow  Floating Pond Fish Food Pellets  50 lbs</t>
  </si>
  <si>
    <t>Dogswell</t>
  </si>
  <si>
    <t>100132</t>
  </si>
  <si>
    <t>Complete and balanced 32% protein  extruded  multi-particle size product designed to be fed to a wide variety of fish species and wide range of sizes of fish. Purina? Game Fish Chow? feed is rich in nutrients essential for optimal fish growth  reproduction and overall health. It works naturally with everyday food sources in your water to address poor nutrition  which is the most significant limiting factor in the size and health of forage fish.</t>
  </si>
  <si>
    <t>['https://i5.walmartimages.com/asr/71e077ee-d4f4-4217-9082-d540da486291.f86ec1292c3317f72b36dd7551f64eff.jpeg?odnHeight=450&amp;odnWidth=450&amp;odnBg=ffffff', 'https://m.media-amazon.com/images/I/419NST4EltL._UL320_.jpg', 'http://site.unbeatablesale.com/img720/plfd13776.gif']</t>
  </si>
  <si>
    <t>36793</t>
  </si>
  <si>
    <t>883576003015</t>
  </si>
  <si>
    <t>22</t>
  </si>
  <si>
    <t>15.72</t>
  </si>
  <si>
    <t>68</t>
  </si>
  <si>
    <t>1573.2</t>
  </si>
  <si>
    <t>1242.63</t>
  </si>
  <si>
    <t>18.2739705882353</t>
  </si>
  <si>
    <t>23.13529411764706</t>
  </si>
  <si>
    <t>6.279999999999999</t>
  </si>
  <si>
    <t>0.2854545454545454</t>
  </si>
  <si>
    <t>Dogswell Purina Mills Whole Oats 50 Lb Millet Bag, 1 Pack, One Size</t>
  </si>
  <si>
    <t>100166</t>
  </si>
  <si>
    <t>&lt;b&gt;Features&lt;/b&gt;&lt;ul&gt;&lt;li&gt;PMI Whole Oats Pet Food&lt;/li&gt;&lt;/ul&gt;&lt;b&gt;Specifications&lt;/b&gt;&lt;ul&gt;&lt;li&gt;&lt;b&gt;Weight&amp;#58;&lt;/b&gt; 50 lbs&lt;/li&gt;&lt;/ul&gt;</t>
  </si>
  <si>
    <t>Animals &amp; Pet Supplies &gt; Pet Supplies &gt; Cat Supplies &gt; Cat Food</t>
  </si>
  <si>
    <t>['http://site.unbeatablesale.com/img720/plfd13788.gif']</t>
  </si>
  <si>
    <t>5500</t>
  </si>
  <si>
    <t>12% PELLET</t>
  </si>
  <si>
    <t>804273051659</t>
  </si>
  <si>
    <t>I12P</t>
  </si>
  <si>
    <t>-16</t>
  </si>
  <si>
    <t>-351.84</t>
  </si>
  <si>
    <t>-263.2</t>
  </si>
  <si>
    <t>2249</t>
  </si>
  <si>
    <t>48217.52</t>
  </si>
  <si>
    <t>37818.46</t>
  </si>
  <si>
    <t>34.69920917177187</t>
  </si>
  <si>
    <t>43.28991831677489</t>
  </si>
  <si>
    <t>16.45</t>
  </si>
  <si>
    <t>5.539999999999999</t>
  </si>
  <si>
    <t>0.2519326966803092</t>
  </si>
  <si>
    <t>Purina Animal Nutrition 3004501-206 Impact Horse 12-6+LYS Pellet 50lb 50 lb</t>
  </si>
  <si>
    <t>320327</t>
  </si>
  <si>
    <t>['https://i5.walmartimages.com/asr/0e388705-fa8f-4ca6-aa36-ee746d1ab499_1.d9db5005ddff3972cd8f4076962422b2.jpeg?odnHeight=450&amp;odnWidth=450&amp;odnBg=ffffff']</t>
  </si>
  <si>
    <t>13385</t>
  </si>
  <si>
    <t>12% TEXTURED_x000D_
SWEET</t>
  </si>
  <si>
    <t>804273051666</t>
  </si>
  <si>
    <t>804273039992</t>
  </si>
  <si>
    <t>44</t>
  </si>
  <si>
    <t>1011.56</t>
  </si>
  <si>
    <t>766.04</t>
  </si>
  <si>
    <t>836</t>
  </si>
  <si>
    <t>19444.65</t>
  </si>
  <si>
    <t>15006.33</t>
  </si>
  <si>
    <t>36.64277197912485</t>
  </si>
  <si>
    <t>46.76115587543729</t>
  </si>
  <si>
    <t>17.41003</t>
  </si>
  <si>
    <t>22.99</t>
  </si>
  <si>
    <t>5.579969999999999</t>
  </si>
  <si>
    <t>0.2427129186602871</t>
  </si>
  <si>
    <t>Purina Animal Nutrition Impact Horse 12% Sweet 50lb Textured</t>
  </si>
  <si>
    <t>350925</t>
  </si>
  <si>
    <t>Sporting Goods &gt; Outdoor Recreation &gt; Equestrian &gt; Horse Care</t>
  </si>
  <si>
    <t>['https://i5.walmartimages.com/asr/86117b8e-b687-4eb4-acc9-7a2128442370.e2d020308b57ba6fe9ce31405412f97d.jpeg?odnHeight=450&amp;odnWidth=450&amp;odnBg=ffffff']</t>
  </si>
  <si>
    <t>17317</t>
  </si>
  <si>
    <t>804273051727</t>
  </si>
  <si>
    <t>12</t>
  </si>
  <si>
    <t>216</t>
  </si>
  <si>
    <t>166</t>
  </si>
  <si>
    <t>677</t>
  </si>
  <si>
    <t>12870.17</t>
  </si>
  <si>
    <t>9853.800000000001</t>
  </si>
  <si>
    <t>28.33850484496124</t>
  </si>
  <si>
    <t>37.06072868217054</t>
  </si>
  <si>
    <t>13.8337</t>
  </si>
  <si>
    <t>18</t>
  </si>
  <si>
    <t>4.1663</t>
  </si>
  <si>
    <t>0.2314611111111111</t>
  </si>
  <si>
    <t>Purina Impact Hay Stretcher</t>
  </si>
  <si>
    <t>Business &amp; Industrial &gt; Agriculture &gt; Animal Husbandry &gt; Livestock Feed</t>
  </si>
  <si>
    <t>[]</t>
  </si>
  <si>
    <t>27208</t>
  </si>
  <si>
    <t>804273057538</t>
  </si>
  <si>
    <t>1149.54</t>
  </si>
  <si>
    <t>898.83</t>
  </si>
  <si>
    <t>2841</t>
  </si>
  <si>
    <t>64832.93</t>
  </si>
  <si>
    <t>56858.39</t>
  </si>
  <si>
    <t>39.87517658915587</t>
  </si>
  <si>
    <t>46.54967577019639</t>
  </si>
  <si>
    <t>19.53975</t>
  </si>
  <si>
    <t>24.99</t>
  </si>
  <si>
    <t>5.450249999999997</t>
  </si>
  <si>
    <t>0.2180972388955581</t>
  </si>
  <si>
    <t>Purina Animal Nutrition Impact Professional Performance  50</t>
  </si>
  <si>
    <t>436145</t>
  </si>
  <si>
    <t>Health &amp; Beauty &gt; Health Care &gt; Fitness &amp; Nutrition &gt; Vitamins &amp; Supplements</t>
  </si>
  <si>
    <t>50</t>
  </si>
  <si>
    <t>['https://i5.walmartimages.com/asr/4068b873-0cbc-4d07-90f5-683d4052ce6a.6de099c1d3de07907750d36e5dd0299a.jpeg?odnHeight=450&amp;odnWidth=450&amp;odnBg=ffffff']</t>
  </si>
  <si>
    <t>13387</t>
  </si>
  <si>
    <t>PELLET</t>
  </si>
  <si>
    <t>804273051796</t>
  </si>
  <si>
    <t>743.69</t>
  </si>
  <si>
    <t>590.86</t>
  </si>
  <si>
    <t>1295</t>
  </si>
  <si>
    <t>30863.1</t>
  </si>
  <si>
    <t>25345.82</t>
  </si>
  <si>
    <t>39.92715194898794</t>
  </si>
  <si>
    <t>48.05147013913489</t>
  </si>
  <si>
    <t>19.06</t>
  </si>
  <si>
    <t>23.99</t>
  </si>
  <si>
    <t>4.93</t>
  </si>
  <si>
    <t>0.2055022926219258</t>
  </si>
  <si>
    <t>Purina Animal Nutrition 3004514-206 Impact Professional Senior 50</t>
  </si>
  <si>
    <t>436146</t>
  </si>
  <si>
    <t>['https://i5.walmartimages.com/asr/f70d35b3-6172-4a34-84d0-70a4f758583e.5f6b251cd0a08089465c3e352deb8f90.jpeg?odnHeight=450&amp;odnWidth=450&amp;odnBg=ffffff', 'https://images-na.ssl-images-amazon.com/images/I/51qrNnpht%2BL._UL320_.jpg']</t>
  </si>
  <si>
    <t>78</t>
  </si>
  <si>
    <t>804273046174</t>
  </si>
  <si>
    <t>13</t>
  </si>
  <si>
    <t>279.37</t>
  </si>
  <si>
    <t>210.97</t>
  </si>
  <si>
    <t>1125</t>
  </si>
  <si>
    <t>23857.86</t>
  </si>
  <si>
    <t>18615.48</t>
  </si>
  <si>
    <t>16.54709333333333</t>
  </si>
  <si>
    <t>21.20698666666667</t>
  </si>
  <si>
    <t>16.20824</t>
  </si>
  <si>
    <t>21.49</t>
  </si>
  <si>
    <t>5.281759999999998</t>
  </si>
  <si>
    <t>0.2457775709632387</t>
  </si>
  <si>
    <t>Purina Animal Nutrition Layena Crumble+Oyster Strong 50lb</t>
  </si>
  <si>
    <t>Waggin  Train</t>
  </si>
  <si>
    <t>352350</t>
  </si>
  <si>
    <t>High level of xanthophyll  a coloring agent derived from marigolds  produces deep yellow egg yolks Oyster Strong System with calcium manganese and trace minerals for strong shells and additional source of calcium Essential amino acids enhanced with lysine and methionine to give birds nutrients they need to produce plenty of wholesome and delicious eggs; also promotes beautiful feathering High level of vitamin A and D to help birds grow into healthy adult birds Prebiotics  probiotics and yeast support immune and digestive health Simple ingredients with no artificial by-products or fillers added; no artificial preservatives added and no antibiotics or growth hormones added 16% protein  complete and high-calcium ration Ideal for top-producing laying hens once they reach 18 weeks of age Larger particle size than limestone so oyster shell will stay in the digestive tract longer Comes in a 50 lb. chicken feed package Chicken feed is available in pellets or crumbles Available in 10 lb.  25 lb.  40 lb. and 50 lb. ba</t>
  </si>
  <si>
    <t>Home &amp; Garden &gt; Household Appliance Accessories &gt; Patio Heater Accessories</t>
  </si>
  <si>
    <t>['https://i5.walmartimages.com/asr/decac3f1-11c8-4318-9228-fa2d417560e7_1.d07a56efbe451d078cb5c96f8db14fb2.jpeg?odnHeight=450&amp;odnWidth=450&amp;odnBg=ffffff']</t>
  </si>
  <si>
    <t>40688</t>
  </si>
  <si>
    <t>804273089010</t>
  </si>
  <si>
    <t>15</t>
  </si>
  <si>
    <t>337.35</t>
  </si>
  <si>
    <t>244.13</t>
  </si>
  <si>
    <t>96</t>
  </si>
  <si>
    <t>2179.56</t>
  </si>
  <si>
    <t>1579.05</t>
  </si>
  <si>
    <t>16.4484375</t>
  </si>
  <si>
    <t>22.70375</t>
  </si>
  <si>
    <t>16.275</t>
  </si>
  <si>
    <t>22.49</t>
  </si>
  <si>
    <t>6.215</t>
  </si>
  <si>
    <t>0.276345042240996</t>
  </si>
  <si>
    <t>Purina Layena+ High Protein Layer Chicken Feed. Chicken Layer Feed with High Protein  40 lbs</t>
  </si>
  <si>
    <t>Purina? Layena? High Protein layer feed is a balanced and complete feed that provides 19% protein to support your hens? active lifestyle and egg production. Each pellet contains black soldier fly larvae  grains and other protein sources  so you can feel good knowing your hens are getting a taste of the good stuff in every bite. Did you know that one of our delicious protein sources  black solider fly larvae  requires less land per pound of protein than other common protein sources? And it can help satisfy your girls? natural craving for bugs. We also included our exclusive Oyster Strong? System  a unique blend of oyster shell  vitamin D  and manganese required for strong shells and healthy hens. With so much goodness packed into one bag  you can feel confident feeding this balanced  high protein feed to your girls.</t>
  </si>
  <si>
    <t>['https://i5.walmartimages.com/asr/85a1a6d8-9ba6-4130-9782-2a1a205af979.5db1ba9193f878f0288b754d84440843.jpeg?odnHeight=450&amp;odnWidth=450&amp;odnBg=ffffff']</t>
  </si>
  <si>
    <t>14554</t>
  </si>
  <si>
    <t>804273043791</t>
  </si>
  <si>
    <t>382.33</t>
  </si>
  <si>
    <t>277.18</t>
  </si>
  <si>
    <t>597</t>
  </si>
  <si>
    <t>13456.14</t>
  </si>
  <si>
    <t>9808.13</t>
  </si>
  <si>
    <t>16.42902847571189</t>
  </si>
  <si>
    <t>22.53959798994975</t>
  </si>
  <si>
    <t>16.30452</t>
  </si>
  <si>
    <t>6.185479999999998</t>
  </si>
  <si>
    <t>0.2750324588706091</t>
  </si>
  <si>
    <t>Purina Animal Nutrition Layena Plus Omega 3 Pellet 40lb</t>
  </si>
  <si>
    <t>3003350-205</t>
  </si>
  <si>
    <t>Formulated to produce a large egg that contains 250 mg omega-3 fatty acids as compared to a traditional  store-bought large egg that contains 50 mg of omega-3 fatty acids Includes the Oyster Strong System; large-particle calcium breaks down steadily  so calcium is available during the entire egg formation process 16% protein and 3.50% calcium maintains hen health and supports consistent egg production Essential amino acids are enhanced with lysine and methionine to help produce wholesome eggs and beautiful feathering Prebiotics and probiotics support immune and digestive health Poultry feed has added marigold extract for brightly colored yolks Comes in a 40 lb. poultry feed package Complete feed for laying hens 18 weeks and older</t>
  </si>
  <si>
    <t>['https://i5.walmartimages.com/asr/d81519ad-75b9-4867-ad53-0a6a6f7db258.56867bdac93b1bff2ac4a6cf375297ad.jpeg?odnHeight=450&amp;odnWidth=450&amp;odnBg=ffffff']</t>
  </si>
  <si>
    <t>79</t>
  </si>
  <si>
    <t>804273042350</t>
  </si>
  <si>
    <t>804273046143</t>
  </si>
  <si>
    <t>967.56</t>
  </si>
  <si>
    <t>714.8</t>
  </si>
  <si>
    <t>1564</t>
  </si>
  <si>
    <t>32473.72</t>
  </si>
  <si>
    <t>25578.35</t>
  </si>
  <si>
    <t>16.35444373401534</t>
  </si>
  <si>
    <t>20.76324808184143</t>
  </si>
  <si>
    <t>16.2454</t>
  </si>
  <si>
    <t>5.744599999999998</t>
  </si>
  <si>
    <t>0.2612369258753979</t>
  </si>
  <si>
    <t>34083</t>
  </si>
  <si>
    <t>804273081687</t>
  </si>
  <si>
    <t>575.88</t>
  </si>
  <si>
    <t>415.92</t>
  </si>
  <si>
    <t>306</t>
  </si>
  <si>
    <t>13677.66</t>
  </si>
  <si>
    <t>10581.71</t>
  </si>
  <si>
    <t>69.18452511553579</t>
  </si>
  <si>
    <t>88.76880145121584</t>
  </si>
  <si>
    <t>34.66</t>
  </si>
  <si>
    <t>47.99</t>
  </si>
  <si>
    <t>13.33000000000001</t>
  </si>
  <si>
    <t>0.2777662012919359</t>
  </si>
  <si>
    <t>Purina Animal Nutrition Omega Match Horse Ration Balance  40lb</t>
  </si>
  <si>
    <t>3005939-205</t>
  </si>
  <si>
    <t>[40 lbs]</t>
  </si>
  <si>
    <t>['https://i5.walmartimages.com/asr/c0bf96a0-fe88-431b-a424-a31331f28f3a.9b558b33c57e531a2bc733f62204ff30.jpeg?odnHeight=450&amp;odnWidth=450&amp;odnBg=ffffff']</t>
  </si>
  <si>
    <t>36962</t>
  </si>
  <si>
    <t>PURINA</t>
  </si>
  <si>
    <t>804273081694</t>
  </si>
  <si>
    <t>726</t>
  </si>
  <si>
    <t>618.95</t>
  </si>
  <si>
    <t>2614.97</t>
  </si>
  <si>
    <t>2280.96</t>
  </si>
  <si>
    <t>103.68</t>
  </si>
  <si>
    <t>118.8622727272727</t>
  </si>
  <si>
    <t>103.1575</t>
  </si>
  <si>
    <t>121</t>
  </si>
  <si>
    <t>17.8425</t>
  </si>
  <si>
    <t>0.1474586776859504</t>
  </si>
  <si>
    <t>Purina Animal Nutrition 3005953-846 (C)Omega Match Ahiflower Oil(4) GALLON</t>
  </si>
  <si>
    <t>3005953-846</t>
  </si>
  <si>
    <t>Purina Animal Nutrition (C)Omega Match Ahiflower Oil(4) GALLON</t>
  </si>
  <si>
    <t>[GALLON]</t>
  </si>
  <si>
    <t>['https://i5.walmartimages.com/asr/a6abc47e-65e4-44b2-aa35-83b4f7b9e1e8.853e22becba5954b1b6ec7625f333a00.jpeg?odnHeight=450&amp;odnWidth=450&amp;odnBg=ffffff']</t>
  </si>
  <si>
    <t>33673</t>
  </si>
  <si>
    <t>804273081700</t>
  </si>
  <si>
    <t>0</t>
  </si>
  <si>
    <t>8</t>
  </si>
  <si>
    <t>284.01</t>
  </si>
  <si>
    <t>211.04</t>
  </si>
  <si>
    <t>26.38</t>
  </si>
  <si>
    <t>35.50125</t>
  </si>
  <si>
    <t>25.89937</t>
  </si>
  <si>
    <t>30</t>
  </si>
  <si>
    <t>4.100629999999999</t>
  </si>
  <si>
    <t>0.1366876666666666</t>
  </si>
  <si>
    <t>Purina Animal Nutrition 3005953-946 (C)Omega Match Ahiflower Oil(8) 32OZ</t>
  </si>
  <si>
    <t>3005953-946</t>
  </si>
  <si>
    <t>Product Details Give your horse the nutrients they could be otherwise missing with the Purina Omega Match Ahiflower Oil Supplement. Each oil supplement does not contain fish and has more omegas than flax. This Ahiflower horse supplement is a filtered  fully traceable  plant-based oil that horses love. The supplement is recommended for comprehensive omega fatty acid supplementation to support your horse s joint  cardiovascular  skin  respiratory  and reproductive health  muscles  immune function  and normal glucose metabolism. Ahiflower oil for horses does not contain fish and has more omegas than flax Supports optimal skin and joint health Ahiflower supplement is a filtered  fully-traceable  plant-based oil that horses love Recommended for comprehensive omega fatty acid supplementation to support joint  cardiovascular  skin  respiratory  and reproductive health  muscles  immune function  and normal glucose metabolism</t>
  </si>
  <si>
    <t>[32OZ]</t>
  </si>
  <si>
    <t>['https://i5.walmartimages.com/asr/959b9a34-077d-4b49-906d-c64e92229834.480706231578fc0f34633440f82bbd79.jpeg?odnHeight=450&amp;odnWidth=450&amp;odnBg=ffffff']</t>
  </si>
  <si>
    <t>95</t>
  </si>
  <si>
    <t>804273061085</t>
  </si>
  <si>
    <t>O1</t>
  </si>
  <si>
    <t>32</t>
  </si>
  <si>
    <t>799.68</t>
  </si>
  <si>
    <t>638.52</t>
  </si>
  <si>
    <t>683</t>
  </si>
  <si>
    <t>17137.35</t>
  </si>
  <si>
    <t>13961.49</t>
  </si>
  <si>
    <t>41.89889400921659</t>
  </si>
  <si>
    <t>49.75882008448541</t>
  </si>
  <si>
    <t>19.95367</t>
  </si>
  <si>
    <t>5.03633</t>
  </si>
  <si>
    <t>0.2015338135254102</t>
  </si>
  <si>
    <t>93</t>
  </si>
  <si>
    <t>804273061092</t>
  </si>
  <si>
    <t>O2</t>
  </si>
  <si>
    <t>804273020556</t>
  </si>
  <si>
    <t>249.9</t>
  </si>
  <si>
    <t>206.82</t>
  </si>
  <si>
    <t>344</t>
  </si>
  <si>
    <t>7935.93</t>
  </si>
  <si>
    <t>7270.2</t>
  </si>
  <si>
    <t>21.13430232558139</t>
  </si>
  <si>
    <t>23.06956395348837</t>
  </si>
  <si>
    <t>20.6819</t>
  </si>
  <si>
    <t>4.3081</t>
  </si>
  <si>
    <t>0.1723929571828731</t>
  </si>
  <si>
    <t>43</t>
  </si>
  <si>
    <t>804273031583</t>
  </si>
  <si>
    <t>O4</t>
  </si>
  <si>
    <t>344.37</t>
  </si>
  <si>
    <t>277.68</t>
  </si>
  <si>
    <t>622</t>
  </si>
  <si>
    <t>15367.35</t>
  </si>
  <si>
    <t>12828.26</t>
  </si>
  <si>
    <t>20.62421221864952</t>
  </si>
  <si>
    <t>24.70635048231511</t>
  </si>
  <si>
    <t>21.36006</t>
  </si>
  <si>
    <t>26.49</t>
  </si>
  <si>
    <t>5.129939999999998</t>
  </si>
  <si>
    <t>0.1936557191392978</t>
  </si>
  <si>
    <t>Purina Animal Nutrition 100114 PMI Omolene 400 Complete Advantage Horse Feed 40 lbs</t>
  </si>
  <si>
    <t>Purina Animal Nutrition</t>
  </si>
  <si>
    <t>100114</t>
  </si>
  <si>
    <t>&lt;p&gt;Purina Omolene &amp;#35;400 Horse Feed contains the Purina Amplify Nugget a patented high fat extruded particle that contains a proprietary blend of vegetable oils flax seed and rice bran for an optimal fatty acid profile&amp;#46; It also contains a high amount of loose beet pulp shreds as an excellent source of fermentable fiber for slow release energy&amp;#46; &lt;/p&gt;&lt;b&gt;Specifications&lt;/b&gt;&lt;ul&gt;&lt;li&gt;&lt;b&gt;Weight&amp;#58;&lt;/b&gt; 40 lbs&lt;/li&gt;&lt;/ul&gt;</t>
  </si>
  <si>
    <t>['http://site.unbeatablesale.com/img720/plfd13767.gif']</t>
  </si>
  <si>
    <t>23794</t>
  </si>
  <si>
    <t>804273051642</t>
  </si>
  <si>
    <t>5</t>
  </si>
  <si>
    <t>209.95</t>
  </si>
  <si>
    <t>160.8</t>
  </si>
  <si>
    <t>207</t>
  </si>
  <si>
    <t>7956.64</t>
  </si>
  <si>
    <t>6614.78</t>
  </si>
  <si>
    <t>31.95545893719807</t>
  </si>
  <si>
    <t>38.43787439613526</t>
  </si>
  <si>
    <t>32.16</t>
  </si>
  <si>
    <t>41.99</t>
  </si>
  <si>
    <t>9.830000000000005</t>
  </si>
  <si>
    <t>0.2341033579423673</t>
  </si>
  <si>
    <t>Purina Animal Nutrition Outlast Gastric Support Supplement 40</t>
  </si>
  <si>
    <t>3004500-205</t>
  </si>
  <si>
    <t>['https://i5.walmartimages.com/asr/b5107307-716d-4ec5-b808-965dfc0a4d38.57b17d7c20bf623f9a50d01008666ba6.jpeg?odnHeight=450&amp;odnWidth=450&amp;odnBg=ffffff', 'https://images-na.ssl-images-amazon.com/images/I/51ca%2BIQkddL._UL320_.jpg', 'https://i5.walmartimages.com/asr/2f2ba98a-220d-4832-b3fb-ba015a0dabdc_1.f17742c73a8f34cfc2990f347d415d95.jpeg?odnHeight=450&amp;odnWidth=450&amp;odnBg=ffffff']</t>
  </si>
  <si>
    <t>99</t>
  </si>
  <si>
    <t>804273019949</t>
  </si>
  <si>
    <t>804273043418</t>
  </si>
  <si>
    <t>2</t>
  </si>
  <si>
    <t>32.98</t>
  </si>
  <si>
    <t>21.89</t>
  </si>
  <si>
    <t>467.74</t>
  </si>
  <si>
    <t>321.31</t>
  </si>
  <si>
    <t>11.07965517241379</t>
  </si>
  <si>
    <t>16.12896551724138</t>
  </si>
  <si>
    <t>10.9425</t>
  </si>
  <si>
    <t>16.49</t>
  </si>
  <si>
    <t>5.547499999999998</t>
  </si>
  <si>
    <t>0.3364160097028501</t>
  </si>
  <si>
    <t>Purina Mills Premium Deer Block 20 Lb.</t>
  </si>
  <si>
    <t>Imported</t>
  </si>
  <si>
    <t>Animals &amp; Pet Supplies &gt; Pet Supplies &gt; Pet Vitamins &amp; Supplements</t>
  </si>
  <si>
    <t>804273045702</t>
  </si>
  <si>
    <t>87.45</t>
  </si>
  <si>
    <t>57.05</t>
  </si>
  <si>
    <t>533.29</t>
  </si>
  <si>
    <t>362.48</t>
  </si>
  <si>
    <t>11.3275</t>
  </si>
  <si>
    <t>16.6653125</t>
  </si>
  <si>
    <t>11.41</t>
  </si>
  <si>
    <t>17.49</t>
  </si>
  <si>
    <t>6.079999999999998</t>
  </si>
  <si>
    <t>0.3476272155517438</t>
  </si>
  <si>
    <t>Purina Animal Nutrition 3003259-742 Purina Horse Apple/Oat Treats 15lb</t>
  </si>
  <si>
    <t>100205</t>
  </si>
  <si>
    <t>Sporting Goods &gt; Outdoor Recreation &gt; Equestrian &gt; Horse Tack Accessories</t>
  </si>
  <si>
    <t>['https://i5.walmartimages.com/asr/26b2bf25-92a4-4a78-8590-b4e729c319b9.347979bdbefc5320abcdeafbf09f5ca3.jpeg?odnHeight=450&amp;odnWidth=450&amp;odnBg=ffffff', 'https://m.media-amazon.com/images/I/51yyOQ7nS7L._UL320_.jpg']</t>
  </si>
  <si>
    <t>21246</t>
  </si>
  <si>
    <t>804273045733</t>
  </si>
  <si>
    <t>125.82</t>
  </si>
  <si>
    <t>76.91</t>
  </si>
  <si>
    <t>70</t>
  </si>
  <si>
    <t>481.67</t>
  </si>
  <si>
    <t>299.12</t>
  </si>
  <si>
    <t>4.273142857142857</t>
  </si>
  <si>
    <t>6.881</t>
  </si>
  <si>
    <t>4.27263</t>
  </si>
  <si>
    <t>6.99</t>
  </si>
  <si>
    <t>2.71737</t>
  </si>
  <si>
    <t>0.3887510729613733</t>
  </si>
  <si>
    <t>Purina Apple &amp; Oats Horse Treats  3.5 lb</t>
  </si>
  <si>
    <t>204870</t>
  </si>
  <si>
    <t>3.5 lb Purina Apple &amp; Oats Horse Treats Purina Apple &amp; Oats Horse Treats are a perfect nutritional complement to any horse feed so you can feel good about rewarding (or just spoiling) all your equine children. Benefits: excellent sizes fun shapes highly palatable Feeding Directions: Feed as a reward or treat to adult horses. Do not feed free-choice. Guaranteed Analysis: Crude Protein ...min...10.00% Lysine ...min...0.20% Crude Fat ...min...3.00% Crude Fiber ...max...13.00% Calcium ...min...0.60% Calcium ...max...1.10% Phosphorus ...min...0.45% Copper ...min...30.00 PPM Zinc ...min...125.00 PPM Vitamin A ...min...3000 IU/LB Vitamin E ...min...50 IU/LB Sodium ...min...0.01% Sodium ...max...0.51% Selenium ...min...0.60 PPM Selenium ...max...0.72 PPM</t>
  </si>
  <si>
    <t>Animals &amp; Pet Supplies</t>
  </si>
  <si>
    <t>21 Pounds</t>
  </si>
  <si>
    <t>['http://site.unbeatablesale.com/img659/trval83987.gif', 'https://i5.walmartimages.com/asr/f637413a-cfb6-440f-b51e-0f2af95ff4d0.edc5a7104cf6ce85cec1b400e087d593.jpeg?odnHeight=450&amp;odnWidth=450&amp;odnBg=ffffff', 'https://m.media-amazon.com/images/I/41HsKyY33GL._UL320_.jpg', 'https://tshop.r10s.com/84e/2b1/f0d9/69ef/80e2/e49a/a612/11ffe7a33ea81e8494b68c.gif?_ex=512x512', 'https://www.truevalue.com/media/catalog/product/164656.jpg', 'http://images.jet.com/md5/4ebd23c04b0e2fec7770a51891e13dff.500', 'https://products.blains.com/600/131/1310243.jpg', 'https://d29pz51ispcyrv.cloudfront.net/images/I/kKuLup6dgAJyGxx92.MD256.JPEG']</t>
  </si>
  <si>
    <t>3318</t>
  </si>
  <si>
    <t>804273018935</t>
  </si>
  <si>
    <t>804273043807</t>
  </si>
  <si>
    <t>84.95</t>
  </si>
  <si>
    <t>59.35</t>
  </si>
  <si>
    <t>213</t>
  </si>
  <si>
    <t>3530.2</t>
  </si>
  <si>
    <t>2571.17</t>
  </si>
  <si>
    <t>12.071220657277</t>
  </si>
  <si>
    <t>16.57370892018779</t>
  </si>
  <si>
    <t>11.87</t>
  </si>
  <si>
    <t>5.119999999999999</t>
  </si>
  <si>
    <t>0.3013537374926427</t>
  </si>
  <si>
    <t>Purina 3003351-603 25 lbs. Sunfresh Recipe Flock Block</t>
  </si>
  <si>
    <t>0063250</t>
  </si>
  <si>
    <t>Features 25 lbs. Sunfresh recipe flock block Whole grain enrichment supplement for free-ranging poultry &amp; game birds that encourages natural pecking instincts. Dimension - 9 l x 9 w x 8 h in. Item weight - 25 lbs. - SKU: TRVAL67390</t>
  </si>
  <si>
    <t>Animals &amp; Pet Supplies &gt; Pet Supplies &gt; Cat Supplies</t>
  </si>
  <si>
    <t>25-lbs</t>
  </si>
  <si>
    <t>25 Pounds</t>
  </si>
  <si>
    <t>['http://site.unbeatablesale.com/EB304/trval67390.gif', 'http://c.shld.net/rpx/i/s/pi/mp/10011/7849864220?src=http%3A%2F%2Fimages.drillspot.com%2Fpimages%2F002%2F323%2F696%2F2323696_300.jpg&amp;d=a310803d3a73a5cf7b576d480e3bcfec33a41435', 'https://i5.walmartimages.com/asr/9e8be178-a37c-4313-a9a4-b9d6edb18ebb.f86d9383f13030a4fe11e065d8696514.jpeg?odnHeight=450&amp;odnWidth=450&amp;odnBg=ffffff', 'http://ecx.images-amazon.com/images/I/51M0YP15t0L._SL160_.jpg', 'https://images-na.ssl-images-amazon.com/images/I/41gIcMNp7PL._UL320_.jpg', 'https://i5.walmartimages.com/asr/b1231794-8de3-4c8e-866a-f24e15994a0c_1.dd81dbead0d639cafa78148d4df3f406.jpeg?odnHeight=450&amp;odnWidth=450&amp;odnBg=ffffff', 'https://tshop.r10s.com/c62/3a1/fff9/7771/d032/cfe6/b317/1130e7b222c4544488dd21.gif?_ex=512x512', 'http://8016235491c6828f9cae-6b0d87410f7cc1525cc32b79408788c4.r96.cf2.rackcdn.com/243/68855538_1.jpg', 'https://jetimages.jetcdn.net/md5/e0b8372311aaa336ad936e3166c1e9fa.500', 'https://d29pz51ispcyrv.cloudfront.net/images/I/5LunuYA3yQqybONY2.MD256.JPEG']</t>
  </si>
  <si>
    <t>10856</t>
  </si>
  <si>
    <t>883576009277</t>
  </si>
  <si>
    <t>3</t>
  </si>
  <si>
    <t>56.97</t>
  </si>
  <si>
    <t>41.54</t>
  </si>
  <si>
    <t>41</t>
  </si>
  <si>
    <t>815.05</t>
  </si>
  <si>
    <t>595.75</t>
  </si>
  <si>
    <t>14.53048780487805</t>
  </si>
  <si>
    <t>19.87926829268293</t>
  </si>
  <si>
    <t>13.84715</t>
  </si>
  <si>
    <t>18.99</t>
  </si>
  <si>
    <t>5.142849999999999</t>
  </si>
  <si>
    <t>0.2708188520273828</t>
  </si>
  <si>
    <t>Purina Animal Nutrition Purina Goat Block 33LB</t>
  </si>
  <si>
    <t>0005388</t>
  </si>
  <si>
    <t>['https://i5.walmartimages.com/asr/38b9f091-05c3-4360-b8fe-a8736abfa8e8.f81f42b48fc3ebe29fb5a1fd7eca515f.jpeg?odnHeight=450&amp;odnWidth=450&amp;odnBg=ffffff']</t>
  </si>
  <si>
    <t>106</t>
  </si>
  <si>
    <t>804273054155</t>
  </si>
  <si>
    <t>0804273000350</t>
  </si>
  <si>
    <t>188.93</t>
  </si>
  <si>
    <t>143.58</t>
  </si>
  <si>
    <t>376</t>
  </si>
  <si>
    <t>9763.96</t>
  </si>
  <si>
    <t>7958.46</t>
  </si>
  <si>
    <t>21.16611702127659</t>
  </si>
  <si>
    <t>25.96797872340425</t>
  </si>
  <si>
    <t>20.45442</t>
  </si>
  <si>
    <t>26.99</t>
  </si>
  <si>
    <t>6.53558</t>
  </si>
  <si>
    <t>0.2421482030381623</t>
  </si>
  <si>
    <t>Purina Animal Nutrition Goat Chow 16 Course 50lb</t>
  </si>
  <si>
    <t>3004591-506</t>
  </si>
  <si>
    <t>[50]</t>
  </si>
  <si>
    <t>['https://i5.walmartimages.com/asr/e0f2e6c3-e65e-470c-9953-ae31624c88c8.0c27529db8956d329d323cc9b3ad6cfa.jpeg?odnHeight=450&amp;odnWidth=450&amp;odnBg=ffffff', 'https://m.media-amazon.com/images/I/41FZqFjV3zL._UL320_.jpg']</t>
  </si>
  <si>
    <t>65</t>
  </si>
  <si>
    <t>804273059884</t>
  </si>
  <si>
    <t>20.99</t>
  </si>
  <si>
    <t>15.51</t>
  </si>
  <si>
    <t>692.94</t>
  </si>
  <si>
    <t>466.9</t>
  </si>
  <si>
    <t>15.06129032258064</t>
  </si>
  <si>
    <t>22.35290322580645</t>
  </si>
  <si>
    <t>5.479999999999999</t>
  </si>
  <si>
    <t>0.2610767031919962</t>
  </si>
  <si>
    <t>Purina Animal Nutrition Purina Goat Mineral 25lb</t>
  </si>
  <si>
    <t>TDP-PHI_100113</t>
  </si>
  <si>
    <t>25</t>
  </si>
  <si>
    <t>['https://i5.walmartimages.com/asr/c2cfc3c5-d9a0-416a-9d6a-2264db1a9316_1.9e031d560899691e1546cc3e16d30c47.jpeg?odnHeight=450&amp;odnWidth=450&amp;odnBg=ffffff']</t>
  </si>
  <si>
    <t>37598</t>
  </si>
  <si>
    <t>CHICKEN, LIVESTOCK</t>
  </si>
  <si>
    <t>FARM TO FLOCK</t>
  </si>
  <si>
    <t>804273082370</t>
  </si>
  <si>
    <t>74.97</t>
  </si>
  <si>
    <t>60.54</t>
  </si>
  <si>
    <t>60</t>
  </si>
  <si>
    <t>1402.4</t>
  </si>
  <si>
    <t>1111.28</t>
  </si>
  <si>
    <t>32.98814814814815</t>
  </si>
  <si>
    <t>42.85037037037037</t>
  </si>
  <si>
    <t>20.18</t>
  </si>
  <si>
    <t>4.809999999999999</t>
  </si>
  <si>
    <t>0.1924769907963185</t>
  </si>
  <si>
    <t>13702</t>
  </si>
  <si>
    <t>804273054131</t>
  </si>
  <si>
    <t>883576012055</t>
  </si>
  <si>
    <t>119.95</t>
  </si>
  <si>
    <t>85.95</t>
  </si>
  <si>
    <t>192</t>
  </si>
  <si>
    <t>4368.13</t>
  </si>
  <si>
    <t>3467.72</t>
  </si>
  <si>
    <t>18.06104166666666</t>
  </si>
  <si>
    <t>22.75067708333333</t>
  </si>
  <si>
    <t>17.19</t>
  </si>
  <si>
    <t>6.799999999999997</t>
  </si>
  <si>
    <t>0.2834514380992079</t>
  </si>
  <si>
    <t>Purina Animal Nutrition Purina Goat Grower 16 DQ .0015 50lb PLT 50 lb</t>
  </si>
  <si>
    <t>3004596-206</t>
  </si>
  <si>
    <t>Animals &amp; Pet Supplies &gt; Pet Supplies &gt; Dog Supplies &gt; Dog Treats</t>
  </si>
  <si>
    <t>['https://i5.walmartimages.com/asr/dc2d149e-8686-45c8-941a-162cefa30aea.6523d6623aa6947e1bd0f0d2e9054bbe.jpeg?odnHeight=450&amp;odnWidth=450&amp;odnBg=ffffff']</t>
  </si>
  <si>
    <t>44603</t>
  </si>
  <si>
    <t>MICROBIOME QUOTIENT</t>
  </si>
  <si>
    <t>804273103921</t>
  </si>
  <si>
    <t>69</t>
  </si>
  <si>
    <t>5174.31</t>
  </si>
  <si>
    <t>1401.2</t>
  </si>
  <si>
    <t>749.98</t>
  </si>
  <si>
    <t>296.73</t>
  </si>
  <si>
    <t>19.782</t>
  </si>
  <si>
    <t>49.99866666666667</t>
  </si>
  <si>
    <t>20.30725</t>
  </si>
  <si>
    <t>74.99</t>
  </si>
  <si>
    <t>54.68275</t>
  </si>
  <si>
    <t>0.7292005600746767</t>
  </si>
  <si>
    <t>Purina Systemiq Probiotic Horse Supplement 2 lbs</t>
  </si>
  <si>
    <t>For over a decade  Purina has been studying the equine microbiome to help horse owners unlock new insights into their horse?s health. We looked beyond the usual expectations of what a probiotic can do. Our unique and patented probiotic technology in Systemiq supplement has a systemic effect in your horse  helping them to overcome challenges such as exercise or occasional gastrointestinal stress. It?s time to know your probiotic is working as hard as you do.</t>
  </si>
  <si>
    <t>['https://i5.walmartimages.com/asr/ca30e153-3960-440a-850b-0bd97455b14f.957cbf4cf4053e8729cb0c46087707a7.jpeg?odnHeight=450&amp;odnWidth=450&amp;odnBg=ffffff']</t>
  </si>
  <si>
    <t>21245</t>
  </si>
  <si>
    <t>804273045726</t>
  </si>
  <si>
    <t>20</t>
  </si>
  <si>
    <t>139.8</t>
  </si>
  <si>
    <t>85.18</t>
  </si>
  <si>
    <t>286.59</t>
  </si>
  <si>
    <t>174.93</t>
  </si>
  <si>
    <t>4.266585365853659</t>
  </si>
  <si>
    <t>6.989999999999999</t>
  </si>
  <si>
    <t>4.25917</t>
  </si>
  <si>
    <t>2.73083</t>
  </si>
  <si>
    <t>0.3906766809728183</t>
  </si>
  <si>
    <t>Purina Nicker Maker Horse Treats  3.5 lb</t>
  </si>
  <si>
    <t>385820</t>
  </si>
  <si>
    <t>Purina Nicker Makers Horse Treats 3.5 lb Purina Nicker Makers Horse Treats are a perfect nutritional complement to any horse feed. Your horses will love the crunch and hint of molasses  and you ll love their reaction! Benefits: excellent sizes fun shapes highly palatable Feeding Directions: Feed as a reward or treat to adult horses. Do not feed free-choice. Guaranteed Analysis: Crude Protein ...min...19.00% Lysine ...min...0.30% Crude Fat ...min...6.00% Crude Fiber ...max...7.00% Calcium ...min...0.50% Calcium ...max...1.00% Phosphorus ...min...0.45% Copper ...min...35.00 PPM Zinc ...min...140.00 PPM Vitamin A ...min...3000 IU/LB Vitamin E ...min...50 IU/LB Sodium ...min...0.01% Sodium ...max...0.51% Selenium ...min...0.60 PPM Selenium ...max...0.72 PPM</t>
  </si>
  <si>
    <t>0.50 lb</t>
  </si>
  <si>
    <t>['https://i5.walmartimages.com/asr/bff45c20-3400-4413-a95c-bc661a8c6495.2b3430a72d7503d2f10a5aa245673fd9.jpeg?odnHeight=450&amp;odnWidth=450&amp;odnBg=ffffff', 'https://products.blains.com/600/131/1310245.jpg']</t>
  </si>
  <si>
    <t>14943</t>
  </si>
  <si>
    <t>804273047003</t>
  </si>
  <si>
    <t>117.96</t>
  </si>
  <si>
    <t>88.32</t>
  </si>
  <si>
    <t>59</t>
  </si>
  <si>
    <t>1716.72</t>
  </si>
  <si>
    <t>1278.16</t>
  </si>
  <si>
    <t>21.66372881355932</t>
  </si>
  <si>
    <t>29.09694915254237</t>
  </si>
  <si>
    <t>22.08</t>
  </si>
  <si>
    <t>29.49</t>
  </si>
  <si>
    <t>7.41</t>
  </si>
  <si>
    <t>0.2512716174974568</t>
  </si>
  <si>
    <t>Purina Animal Nutrition Organic/Non-GMO Crumbles 35lb</t>
  </si>
  <si>
    <t>3003483-324</t>
  </si>
  <si>
    <t>['https://i5.walmartimages.com/asr/4f673579-8876-4e76-8787-774f35384317.b1f8c16fa3c197f8fcaf4af0277ffe98.jpeg?odnHeight=450&amp;odnWidth=450&amp;odnBg=ffffff', 'https://m.media-amazon.com/images/I/41VwuE8PwiL._UL320_.jpg', 'https://i5.walmartimages.com/asr/e536c8ae-0f2b-494d-ade3-b51935059a70_1.c85879283f5d2937dbafbe7a68a14691.jpeg?odnHeight=450&amp;odnWidth=450&amp;odnBg=ffffff']</t>
  </si>
  <si>
    <t>21052</t>
  </si>
  <si>
    <t>804273046990</t>
  </si>
  <si>
    <t>147.45</t>
  </si>
  <si>
    <t>109.15</t>
  </si>
  <si>
    <t>92</t>
  </si>
  <si>
    <t>2711.42</t>
  </si>
  <si>
    <t>1999.24</t>
  </si>
  <si>
    <t>21.73086956521739</t>
  </si>
  <si>
    <t>29.47195652173913</t>
  </si>
  <si>
    <t>21.83</t>
  </si>
  <si>
    <t>7.66</t>
  </si>
  <si>
    <t>0.2597490674805019</t>
  </si>
  <si>
    <t>Purina Animal Nutrition Organic/Non-GMO Layer Pellets 35lb</t>
  </si>
  <si>
    <t>3003482-224</t>
  </si>
  <si>
    <t>Rich in antioxidants - Supports immune health Includes Oyster Strong System - Large-particle calcium breaks down steadily  so calcium is available during the entire egg formation process 16% protein  3.25% calcium - Maintains hen health and supports consistent egg production Organic chicken feed provides essential amino acids  vitamins and minerals - To help produce wholesome eggs and beautiful feathering Rich in antioxidants - Supports immune and digestive health Pellets are a great way to limit feed waste USDA Certified Organic - It is made with non-GMO ingredients that have been grown without the use of pesticides and fertilizers</t>
  </si>
  <si>
    <t>[35]</t>
  </si>
  <si>
    <t>['https://i5.walmartimages.com/asr/26cb918a-1fc8-49ac-a685-071a5e5446d8.c582185eb8e8395e98eb262cee6c3abe.jpeg?odnHeight=450&amp;odnWidth=450&amp;odnBg=ffffff']</t>
  </si>
  <si>
    <t>20965</t>
  </si>
  <si>
    <t>804273047027</t>
  </si>
  <si>
    <t>181.93</t>
  </si>
  <si>
    <t>132.44</t>
  </si>
  <si>
    <t>1684.6</t>
  </si>
  <si>
    <t>1226.45</t>
  </si>
  <si>
    <t>18.86846153846154</t>
  </si>
  <si>
    <t>25.91692307692308</t>
  </si>
  <si>
    <t>18.91952</t>
  </si>
  <si>
    <t>7.07048</t>
  </si>
  <si>
    <t>0.2720461716044633</t>
  </si>
  <si>
    <t>Purina Animal Nutrition 3003485-124 Organic/Non-GMO Scratch 35lb</t>
  </si>
  <si>
    <t>369886</t>
  </si>
  <si>
    <t>['https://i5.walmartimages.com/asr/32390e21-2e89-44e3-b9a0-5b0cfad1b6cc.24748fb0ce1b08f00b0c5fde152dd8a0.jpeg?odnHeight=450&amp;odnWidth=450&amp;odnBg=ffffff']</t>
  </si>
  <si>
    <t>30661</t>
  </si>
  <si>
    <t>804273063256</t>
  </si>
  <si>
    <t>31.96</t>
  </si>
  <si>
    <t>21.84</t>
  </si>
  <si>
    <t>37</t>
  </si>
  <si>
    <t>271.44</t>
  </si>
  <si>
    <t>201.34</t>
  </si>
  <si>
    <t>5.441621621621621</t>
  </si>
  <si>
    <t>7.336216216216216</t>
  </si>
  <si>
    <t>5.46</t>
  </si>
  <si>
    <t>7.99</t>
  </si>
  <si>
    <t>2.53</t>
  </si>
  <si>
    <t>0.3166458072590739</t>
  </si>
  <si>
    <t>Purina Animal Nutrition (C)Outlast Treats(6) 3.5LB</t>
  </si>
  <si>
    <t>Land O Lakes Purina Feed</t>
  </si>
  <si>
    <t>3005457-746</t>
  </si>
  <si>
    <t>Toys &amp; Games &gt; Toys &gt; Riding Toys &gt; Hobby Horses</t>
  </si>
  <si>
    <t>4.80lb</t>
  </si>
  <si>
    <t>['http://site.unbeatablesale.com/TRVAL140971.JPG', 'https://i5.walmartimages.com/asr/13805902-0cda-41ab-b1c1-fc455c0b3028.192aaa748566ee7b95a81f2f914aa7b7.jpeg?odnHeight=450&amp;odnWidth=450&amp;odnBg=ffffff']</t>
  </si>
  <si>
    <t>39257</t>
  </si>
  <si>
    <t>804273097008</t>
  </si>
  <si>
    <t>47</t>
  </si>
  <si>
    <t>140.53</t>
  </si>
  <si>
    <t>71.44</t>
  </si>
  <si>
    <t>133</t>
  </si>
  <si>
    <t>397.67</t>
  </si>
  <si>
    <t>202.16</t>
  </si>
  <si>
    <t>1.52</t>
  </si>
  <si>
    <t>2.99</t>
  </si>
  <si>
    <t>1.47</t>
  </si>
  <si>
    <t>0.4916387959866221</t>
  </si>
  <si>
    <t>Purina Electrolyte &amp; Antioxidant Supplement for Poultry  0.17 oz Packets (3-Pack)</t>
  </si>
  <si>
    <t>Purina? Electrolyte &amp; Antioxidant Supplement is designed to keep your flock hydrated and healthy during periods of heat and times of stress. Easy to use  just mix one packet with a gallon of fresh water to help keep your birds active and lively.</t>
  </si>
  <si>
    <t>['https://i5.walmartimages.com/asr/68dc80fb-6afe-4a5f-a739-018ac7766f2d.215b02a2fb21074a9cda080016e0ab0c.jpeg?odnHeight=450&amp;odnWidth=450&amp;odnBg=ffffff']</t>
  </si>
  <si>
    <t>46341</t>
  </si>
  <si>
    <t>223.92</t>
  </si>
  <si>
    <t>168.94</t>
  </si>
  <si>
    <t>167.94</t>
  </si>
  <si>
    <t>130.24</t>
  </si>
  <si>
    <t>21.70666666666667</t>
  </si>
  <si>
    <t>27.99</t>
  </si>
  <si>
    <t>21.118</t>
  </si>
  <si>
    <t>6.872</t>
  </si>
  <si>
    <t>0.2455162558056449</t>
  </si>
  <si>
    <t>80427310150</t>
  </si>
  <si>
    <t>38461</t>
  </si>
  <si>
    <t>804273086835</t>
  </si>
  <si>
    <t>101.97</t>
  </si>
  <si>
    <t>81.13</t>
  </si>
  <si>
    <t>24</t>
  </si>
  <si>
    <t>785.39</t>
  </si>
  <si>
    <t>645.0300000000001</t>
  </si>
  <si>
    <t>53.83260869565218</t>
  </si>
  <si>
    <t>65.70304347826087</t>
  </si>
  <si>
    <t>27.04324</t>
  </si>
  <si>
    <t>33.99</t>
  </si>
  <si>
    <t>6.946760000000001</t>
  </si>
  <si>
    <t>0.2043765813474551</t>
  </si>
  <si>
    <t>80427308683</t>
  </si>
  <si>
    <t>19195</t>
  </si>
  <si>
    <t>804273040967</t>
  </si>
  <si>
    <t>175.96</t>
  </si>
  <si>
    <t>147.98</t>
  </si>
  <si>
    <t>54</t>
  </si>
  <si>
    <t>2038.57</t>
  </si>
  <si>
    <t>1995.72</t>
  </si>
  <si>
    <t>36.95777777777778</t>
  </si>
  <si>
    <t>37.7512962962963</t>
  </si>
  <si>
    <t>36.99535</t>
  </si>
  <si>
    <t>43.99</t>
  </si>
  <si>
    <t>6.99465</t>
  </si>
  <si>
    <t>0.1590054557854058</t>
  </si>
  <si>
    <t>Purina® Supersport® 25 lb</t>
  </si>
  <si>
    <t>3002910-203</t>
  </si>
  <si>
    <t>Supersport Supersport is formulated for top equine athletes at any age and in any discipline. Features &amp; Benefits: Scientifically formulated &amp; demonstrated in published research to support: Recovery: more rapid recovery of muscle cell integrity after exercise to help horses bounce back faster Performance: increased exercise capacity for higher performance over a longer period of time Muscle Mass: supports muscle development for a more athletic body type Optimized Amino Acid Profile: includes essential amino acids Lysine  Threonine  and Methionine and branched chain amino acids to support muscle development  protection  and repair High-Quality Protein: includes whey protein for optimal bioavailability and digestibility Added Antioxidants: includes Vitamin E to help address the negative effects of free radicals Vitamin &amp; Mineral Fortification: nutritionally balanced to complement the horse s total ration Grain-Free: suitable for horses requiring a soluble carbohydrate-restricted diet Palatable Pelleted Form: h</t>
  </si>
  <si>
    <t>Sporting Goods &gt; Outdoor Recreation &gt; Equestrian &gt; Horse Tack &gt; Saddles</t>
  </si>
  <si>
    <t>['https://i5.walmartimages.com/asr/beb23463-c42a-4dc7-ab03-f730d0e413e4.2aa972ae5f83c846b9c47f6af2c06f27.jpeg?odnHeight=450&amp;odnWidth=450&amp;odnBg=ffffff', 'https://images-na.ssl-images-amazon.com/images/I/41K366CqJCL._UL320_.jpg']</t>
  </si>
  <si>
    <t>113</t>
  </si>
  <si>
    <t>FEED, RABBIT FEED</t>
  </si>
  <si>
    <t>804273059266</t>
  </si>
  <si>
    <t>74.95</t>
  </si>
  <si>
    <t>47.5</t>
  </si>
  <si>
    <t>64</t>
  </si>
  <si>
    <t>925.88</t>
  </si>
  <si>
    <t>636.74</t>
  </si>
  <si>
    <t>20.10523153942428</t>
  </si>
  <si>
    <t>28.64100125156445</t>
  </si>
  <si>
    <t>9.5</t>
  </si>
  <si>
    <t>14.99</t>
  </si>
  <si>
    <t>5.49</t>
  </si>
  <si>
    <t>0.3662441627751835</t>
  </si>
  <si>
    <t>Purina Rabbit Food Complete Pellets 25 lb</t>
  </si>
  <si>
    <t>3004902-203</t>
  </si>
  <si>
    <t>Whole body nutrition for rabbits of all ages Purina Rabbit Feed gives rabbits all the vitamins and minerals they need to live to the fullest Rabbits prefer the taste of our pellets and rabbit owners love the perfect balance of protein fiber and essential nutrients for healthy rabbit growth and reproduction</t>
  </si>
  <si>
    <t>25 lbs</t>
  </si>
  <si>
    <t>['https://i5.walmartimages.com/asr/756a825b-5832-4a3d-8150-ccac6ca6718a.cc833aac4a0ff055e7eae2d02575684e.jpeg?odnHeight=450&amp;odnWidth=450&amp;odnBg=ffffff']</t>
  </si>
  <si>
    <t>114</t>
  </si>
  <si>
    <t>804273059273</t>
  </si>
  <si>
    <t>75</t>
  </si>
  <si>
    <t>55.76</t>
  </si>
  <si>
    <t>3578.02</t>
  </si>
  <si>
    <t>2771.08</t>
  </si>
  <si>
    <t>39.01295622895623</t>
  </si>
  <si>
    <t>48.41051851851852</t>
  </si>
  <si>
    <t>18.58105</t>
  </si>
  <si>
    <t>6.418949999999999</t>
  </si>
  <si>
    <t>0.2567579999999999</t>
  </si>
  <si>
    <t>Purina Animal Nutrition Purina Complete Rabbit Feed 50lb</t>
  </si>
  <si>
    <t>3004902-206</t>
  </si>
  <si>
    <t>Animals &amp; Pet Supplies &gt; Pet Supplies &gt; Small Animal Supplies</t>
  </si>
  <si>
    <t>['https://i5.walmartimages.com/asr/166b6343-8ed8-437a-89fe-473b9aae0507.e25eea8c56b50d200e60ccff1047b04e.jpeg?odnHeight=450&amp;odnWidth=450&amp;odnBg=ffffff']</t>
  </si>
  <si>
    <t>115</t>
  </si>
  <si>
    <t>804273059280</t>
  </si>
  <si>
    <t>81</t>
  </si>
  <si>
    <t>58.13</t>
  </si>
  <si>
    <t>368</t>
  </si>
  <si>
    <t>8995.8</t>
  </si>
  <si>
    <t>7414.42</t>
  </si>
  <si>
    <t>40.68363745859681</t>
  </si>
  <si>
    <t>49.32483331182517</t>
  </si>
  <si>
    <t>19.31929</t>
  </si>
  <si>
    <t>7.680710000000001</t>
  </si>
  <si>
    <t>0.2844707407407408</t>
  </si>
  <si>
    <t>119</t>
  </si>
  <si>
    <t>804273062402</t>
  </si>
  <si>
    <t>sg</t>
  </si>
  <si>
    <t>205</t>
  </si>
  <si>
    <t>139.42</t>
  </si>
  <si>
    <t>15207.33</t>
  </si>
  <si>
    <t>10786.63</t>
  </si>
  <si>
    <t>14.85761707988981</t>
  </si>
  <si>
    <t>20.94673553719008</t>
  </si>
  <si>
    <t>13.94217</t>
  </si>
  <si>
    <t>20.5</t>
  </si>
  <si>
    <t>6.557829999999999</t>
  </si>
  <si>
    <t>0.3198941463414633</t>
  </si>
  <si>
    <t>Purina Animal Nutrition Purina Scratch Grain 50lb</t>
  </si>
  <si>
    <t>3005360-106</t>
  </si>
  <si>
    <t>50 lbs</t>
  </si>
  <si>
    <t>['https://i5.walmartimages.com/asr/ab0fda70-cd21-4764-af20-56741210533e.838d91ac1f8232e3b05e80797a759da0.jpeg?odnHeight=450&amp;odnWidth=450&amp;odnBg=ffffff']</t>
  </si>
  <si>
    <t>123</t>
  </si>
  <si>
    <t>804273057408</t>
  </si>
  <si>
    <t>800</t>
  </si>
  <si>
    <t>610.49</t>
  </si>
  <si>
    <t>273</t>
  </si>
  <si>
    <t>6617.92</t>
  </si>
  <si>
    <t>5297.15</t>
  </si>
  <si>
    <t>39.6121645021645</t>
  </si>
  <si>
    <t>48.65354978354979</t>
  </si>
  <si>
    <t>19.07783</t>
  </si>
  <si>
    <t>5.922170000000001</t>
  </si>
  <si>
    <t>0.2368868000000001</t>
  </si>
  <si>
    <t>Purina Animal Nutrition 3004798-306 Start N Grow w/AMP .0125 Crumbles 50lb</t>
  </si>
  <si>
    <t>3004798-306</t>
  </si>
  <si>
    <t>['https://i5.walmartimages.com/asr/251ca660-8744-4d7c-9b45-776895c26ad1_1.7a756adf941d31bba5a87a77d18ff869.jpeg?odnHeight=450&amp;odnWidth=450&amp;odnBg=ffffff']</t>
  </si>
  <si>
    <t>804273057392</t>
  </si>
  <si>
    <t>299.8</t>
  </si>
  <si>
    <t>199.91</t>
  </si>
  <si>
    <t>2881.05</t>
  </si>
  <si>
    <t>2082.95</t>
  </si>
  <si>
    <t>10.16073170731707</t>
  </si>
  <si>
    <t>14.05390243902439</t>
  </si>
  <si>
    <t>9.99552</t>
  </si>
  <si>
    <t>4.994479999999999</t>
  </si>
  <si>
    <t>0.333187458305537</t>
  </si>
  <si>
    <t>Purina Animal Nutrition Start N Grow w/AMP .0125 Crumbles 25lb</t>
  </si>
  <si>
    <t>3004798-303</t>
  </si>
  <si>
    <t>['https://i5.walmartimages.com/asr/731232b4-14f0-451a-a1cd-2096e76acbcc.da2960750dc260a254f3c6c499f09883.jpeg?odnHeight=450&amp;odnWidth=450&amp;odnBg=ffffff']</t>
  </si>
  <si>
    <t>20586</t>
  </si>
  <si>
    <t>804273057422</t>
  </si>
  <si>
    <t>27.98</t>
  </si>
  <si>
    <t>19.84</t>
  </si>
  <si>
    <t>1210.42</t>
  </si>
  <si>
    <t>934.66</t>
  </si>
  <si>
    <t>10.05010752688172</t>
  </si>
  <si>
    <t>13.0152688172043</t>
  </si>
  <si>
    <t>9.92</t>
  </si>
  <si>
    <t>13.99</t>
  </si>
  <si>
    <t>4.07</t>
  </si>
  <si>
    <t>0.2909220872051466</t>
  </si>
  <si>
    <t>Purina Animal Nutrition 3004800-303 STR+GRO CR 25LB</t>
  </si>
  <si>
    <t>3004800-303</t>
  </si>
  <si>
    <t>[25]</t>
  </si>
  <si>
    <t>['https://i5.walmartimages.com/asr/741f49da-9174-4918-b555-4b653b486ab5.88a4d96338a6f483d70bf76280adbcb5.jpeg?odnHeight=450&amp;odnWidth=450&amp;odnBg=ffffff']</t>
  </si>
  <si>
    <t>126</t>
  </si>
  <si>
    <t>804273055596</t>
  </si>
  <si>
    <t>strat</t>
  </si>
  <si>
    <t>1199.52</t>
  </si>
  <si>
    <t>915.51</t>
  </si>
  <si>
    <t>1959</t>
  </si>
  <si>
    <t>45403.15</t>
  </si>
  <si>
    <t>38588.99</t>
  </si>
  <si>
    <t>19.69831036242981</t>
  </si>
  <si>
    <t>23.17669729453803</t>
  </si>
  <si>
    <t>19.0731</t>
  </si>
  <si>
    <t>5.916899999999998</t>
  </si>
  <si>
    <t>0.2367707082833133</t>
  </si>
  <si>
    <t>Purina Animal Nutrition Purina Strategy Professional Formula GX Pellet</t>
  </si>
  <si>
    <t>100176</t>
  </si>
  <si>
    <t>Purinareg Amplifyreg Nugget| Purinareg Outlastreg Supplement Added to Support Proper Gastric pH| Outlastreg supplement contains a unique blend of ingredients that are designed to support gastric balance giving you and your horse the confidence to perform | Controlled Sugars and Starch approximately 18 total sugars and starch| High quality protein sources and amino acids deliver a balanced profile that supports foal development milk production muscle growth amp development and high level performance | Added fat and balanced nutrients support optimal body condition and shiny healthy looking haircoats | More calories from fat and fibers provides multiple fuel sources to support overall health | Exceptional Palatability for Consistent Nutrient Intake| 50 lb bag| 3004620 206|</t>
  </si>
  <si>
    <t>['https://i5.walmartimages.com/asr/0113daf5-db84-491a-8721-192a4df0b162.a4e123669788bd903a5d5aa055bc8bcd.jpeg?odnHeight=450&amp;odnWidth=450&amp;odnBg=ffffff', 'https://m.media-amazon.com/images/I/515DGjiTmGL._UL320_.jpg']</t>
  </si>
  <si>
    <t>8638</t>
  </si>
  <si>
    <t>804273055589</t>
  </si>
  <si>
    <t>he</t>
  </si>
  <si>
    <t>1724.31</t>
  </si>
  <si>
    <t>1403.94</t>
  </si>
  <si>
    <t>3098</t>
  </si>
  <si>
    <t>71972.67</t>
  </si>
  <si>
    <t>64311.34</t>
  </si>
  <si>
    <t>20.75898644286637</t>
  </si>
  <si>
    <t>23.23197869593286</t>
  </si>
  <si>
    <t>20.34694</t>
  </si>
  <si>
    <t>4.643059999999998</t>
  </si>
  <si>
    <t>0.1857967186874749</t>
  </si>
  <si>
    <t>coming soon</t>
  </si>
  <si>
    <t>0041880</t>
  </si>
  <si>
    <t>['https://i5.walmartimages.com/asr/ae1f7ef8-bf0a-44cc-9514-4cd90f3ce15b_1.bb39e1a6539377d1805f3764ed853c40.jpeg?odnHeight=450&amp;odnWidth=450&amp;odnBg=ffffff']</t>
  </si>
  <si>
    <t>804273031439</t>
  </si>
  <si>
    <t>0804273072142, 804273072142</t>
  </si>
  <si>
    <t>2496</t>
  </si>
  <si>
    <t>1990.79</t>
  </si>
  <si>
    <t>729</t>
  </si>
  <si>
    <t>22138.1</t>
  </si>
  <si>
    <t>18901.17</t>
  </si>
  <si>
    <t>80.42722388805598</t>
  </si>
  <si>
    <t>85.80927786106946</t>
  </si>
  <si>
    <t>25.49083</t>
  </si>
  <si>
    <t>32.99</t>
  </si>
  <si>
    <t>7.499170000000003</t>
  </si>
  <si>
    <t>0.227316459533192</t>
  </si>
  <si>
    <t>Purina Mills Ultium Competition Horse Form 50 lb.</t>
  </si>
  <si>
    <t>0058528</t>
  </si>
  <si>
    <t>['https://i5.walmartimages.com/asr/83c03df6-8a4f-48ab-a085-9d3f8af08143_1.8ac2e4d71d6808b166f8f9dd692fcf87.jpeg?odnHeight=450&amp;odnWidth=450&amp;odnBg=ffffff']</t>
  </si>
  <si>
    <t>23914</t>
  </si>
  <si>
    <t>804273051857</t>
  </si>
  <si>
    <t>465</t>
  </si>
  <si>
    <t>372.58</t>
  </si>
  <si>
    <t>714</t>
  </si>
  <si>
    <t>21184.5</t>
  </si>
  <si>
    <t>17860.1</t>
  </si>
  <si>
    <t>25.0141456582633</t>
  </si>
  <si>
    <t>29.67016806722689</t>
  </si>
  <si>
    <t>24.83847</t>
  </si>
  <si>
    <t>31.99</t>
  </si>
  <si>
    <t>7.151529999999998</t>
  </si>
  <si>
    <t>0.2235551734917161</t>
  </si>
  <si>
    <t>Purina 3004519-506 Ultium Gastric Care Horse Feed  50 lb. Bag</t>
  </si>
  <si>
    <t>437805</t>
  </si>
  <si>
    <t>Product Details Travel  unfamiliar environments  and new stall neighbors are just some of the disruptions that can cause stress in horses. During these trying times  give your equine athlete extra digestive support with Ultium? Gastric Care. Designed to support gastric and immune health through whatever stresses your horse faces  this feed is formulated with Outlast? for gastric health and comfort  plus calorie-dense  concentrated energy to help maintain body condition and performance with less sugar and starch. Outlast? Gastric Support: Scientifically shown to support gastric health/comfort and proper pH  even through the stress of travel and competition Highly Digestible Fibers: Including beet pulp  alfalfa  and soy hulls to support a healthy gut microbiome Specialized Yeast Extract: Contains a proprietary beta glucan scientifically shown to support the immune function of horses affected by stress Amplify High-Fat Nugget: With a proprietary blend of fatty acids from vegetable oils  flaxseed  and rice br</t>
  </si>
  <si>
    <t>['https://i5.walmartimages.com/asr/a610e6c3-0f65-42bb-b749-e0d1097eb0f7.c09a89df6efa7618c6cacef2f2d509e9.jpeg?odnHeight=450&amp;odnWidth=450&amp;odnBg=ffffff', 'https://m.media-amazon.com/images/I/41vnBN0EEHL._UL320_.jpg']</t>
  </si>
  <si>
    <t>41981</t>
  </si>
  <si>
    <t>804273072159</t>
  </si>
  <si>
    <t>77.19</t>
  </si>
  <si>
    <t>3378.92</t>
  </si>
  <si>
    <t>2742.61</t>
  </si>
  <si>
    <t>51.73689170182841</t>
  </si>
  <si>
    <t>63.83443037974683</t>
  </si>
  <si>
    <t>25.73</t>
  </si>
  <si>
    <t>6.27</t>
  </si>
  <si>
    <t>0.1959375</t>
  </si>
  <si>
    <t>Purina Animal Nutrition Ultium Growth 50lb</t>
  </si>
  <si>
    <t>3005651-506</t>
  </si>
  <si>
    <t>[One Size]</t>
  </si>
  <si>
    <t>['https://i5.walmartimages.com/asr/10e0b5f0-6ac4-41fa-be55-1f23aaa5f188.5965aa989f18037ec99ac8f31e883e01.jpeg?odnHeight=450&amp;odnWidth=450&amp;odnBg=ffffff']</t>
  </si>
  <si>
    <t>101</t>
  </si>
  <si>
    <t>883576004555</t>
  </si>
  <si>
    <t>wls</t>
  </si>
  <si>
    <t>248.43</t>
  </si>
  <si>
    <t>201.81</t>
  </si>
  <si>
    <t>314</t>
  </si>
  <si>
    <t>11085.33</t>
  </si>
  <si>
    <t>8996.42</t>
  </si>
  <si>
    <t>28.65101910828026</t>
  </si>
  <si>
    <t>35.30359872611465</t>
  </si>
  <si>
    <t>28.83</t>
  </si>
  <si>
    <t>35.49</t>
  </si>
  <si>
    <t>6.660000000000004</t>
  </si>
  <si>
    <t>0.1876584953508031</t>
  </si>
  <si>
    <t>Purina Animal Nutrition Wellsolve L/S 50lb Pellet</t>
  </si>
  <si>
    <t>320341</t>
  </si>
  <si>
    <t>['https://i5.walmartimages.com/asr/e146234b-b88b-4751-936a-8d53a86a137d.299037d8e5a50ac2e7a1e0d7fda0c283.jpeg?odnHeight=450&amp;odnWidth=450&amp;odnBg=ffffff', 'https://m.media-amazon.com/images/I/41Uit+e2mIL._UL320_.jpg']</t>
  </si>
  <si>
    <t>40911</t>
  </si>
  <si>
    <t>804273063751</t>
  </si>
  <si>
    <t>244.95</t>
  </si>
  <si>
    <t>178.85</t>
  </si>
  <si>
    <t>23</t>
  </si>
  <si>
    <t>1078.77</t>
  </si>
  <si>
    <t>801.89</t>
  </si>
  <si>
    <t>34.86478260869565</t>
  </si>
  <si>
    <t>46.90304347826087</t>
  </si>
  <si>
    <t>35.77</t>
  </si>
  <si>
    <t>48.99</t>
  </si>
  <si>
    <t>13.22</t>
  </si>
  <si>
    <t>0.2698509899979588</t>
  </si>
  <si>
    <t>Purina 3005607-106 Wind and Rain Sheep Granular Mineral Feed  50 LB Bag</t>
  </si>
  <si>
    <t>3005607-106</t>
  </si>
  <si>
    <t>FEATURES: Purina Wind and Rain Sheep Mineral is formulated with our patented and proven Wind and Rain? technology to help reduce clumping  therefore reducing waste while saving you time and money. Now contains Availa? zinc and manganese to support hoof health and reproductive efficiency Wind and Rain technology - Patented process results in reduced clumping and waste Availa zinc and manganese - Supports hoof health and reproductive efficiency High in calcium - Reduces the risk of milk fever  ketosis and aids in parturition success High in trace minerals - Meets and exceeds nutrient requirements of high producing ewes Efficient - Optimum intake is just 1 ounce per head per day Added vitamin E  selenium and iodine - Antioxidants to support overall immune function</t>
  </si>
  <si>
    <t>['https://i5.walmartimages.com/asr/df2064c3-ddc1-4c1d-a592-816f56ae9c0a.a77a07cb30cb16ff532bbb2a1de80cd6.jpeg?odnHeight=450&amp;odnWidth=450&amp;odnBg=ffffff']</t>
  </si>
  <si>
    <t>item_#</t>
  </si>
  <si>
    <t>department</t>
  </si>
  <si>
    <t>search_string</t>
  </si>
  <si>
    <t>manufacturer_found</t>
  </si>
  <si>
    <t>description_1</t>
  </si>
  <si>
    <t>manufacturer_homepage_found</t>
  </si>
  <si>
    <t>description_2</t>
  </si>
  <si>
    <t>attribute</t>
  </si>
  <si>
    <t>size</t>
  </si>
  <si>
    <t>upc_updated</t>
  </si>
  <si>
    <t>alternate_lookup</t>
  </si>
  <si>
    <t>dept_code</t>
  </si>
  <si>
    <t>vendor_code</t>
  </si>
  <si>
    <t>pid</t>
  </si>
  <si>
    <t>quick_pick_group</t>
  </si>
  <si>
    <t>inventory_qty</t>
  </si>
  <si>
    <t>inventory_ext_price</t>
  </si>
  <si>
    <t>inventory_ext_cost</t>
  </si>
  <si>
    <t>sold_qty</t>
  </si>
  <si>
    <t>sold_ext_price</t>
  </si>
  <si>
    <t>sold_ext_cost</t>
  </si>
  <si>
    <t>sold_qty_adjusted</t>
  </si>
  <si>
    <t>avg_cost_/_unit</t>
  </si>
  <si>
    <t>avg_price_/_unit</t>
  </si>
  <si>
    <t>sold_ext_cost_adj</t>
  </si>
  <si>
    <t>sold_ext_price_adj</t>
  </si>
  <si>
    <t>gross_profit</t>
  </si>
  <si>
    <t>margin</t>
  </si>
  <si>
    <t>upc_staged</t>
  </si>
  <si>
    <t>upc</t>
  </si>
  <si>
    <t>notes</t>
  </si>
  <si>
    <t>upcitemdb_match</t>
  </si>
  <si>
    <t>upcitemdb_status</t>
  </si>
  <si>
    <t>upcitemdb_title</t>
  </si>
  <si>
    <t>upcitemdb_brand</t>
  </si>
  <si>
    <t>upcitemdb_model</t>
  </si>
  <si>
    <t>upcitemdb_description</t>
  </si>
  <si>
    <t>upcitemdb_category</t>
  </si>
  <si>
    <t>upcitemdb_size</t>
  </si>
  <si>
    <t>upcitemdb_weight</t>
  </si>
  <si>
    <t>upcitemdb_currency</t>
  </si>
  <si>
    <t>upcitemdb_lowest_recorded_price</t>
  </si>
  <si>
    <t>upcitemdb_highest_recorded_price</t>
  </si>
  <si>
    <t>upcitemdb_images</t>
  </si>
  <si>
    <t>50 LB</t>
  </si>
  <si>
    <t>40 LB</t>
  </si>
  <si>
    <t>30 LB</t>
  </si>
  <si>
    <t>20 LB</t>
  </si>
  <si>
    <t>15 LB</t>
  </si>
  <si>
    <t>3.5 LB</t>
  </si>
  <si>
    <t>25 LB</t>
  </si>
  <si>
    <t>3 LB</t>
  </si>
  <si>
    <t>35 LB</t>
  </si>
  <si>
    <t>2 LB</t>
  </si>
  <si>
    <t>1 GALLON</t>
  </si>
  <si>
    <t>32 OZ</t>
  </si>
  <si>
    <t>34.33 LB</t>
  </si>
  <si>
    <t>33947</t>
  </si>
  <si>
    <t>ANTLER MAX</t>
  </si>
  <si>
    <t>25LB</t>
  </si>
  <si>
    <t>3002331-103</t>
  </si>
  <si>
    <t>10.49</t>
  </si>
  <si>
    <t>6.499999999999998</t>
  </si>
  <si>
    <t>0.3825779870512065</t>
  </si>
  <si>
    <t>PURINA® AMPLIFY® HIGH-FAT HORSE SUPPLEMENT</t>
  </si>
  <si>
    <t>PURINA® COUNTRY ACRES 12% SWEET 50LB</t>
  </si>
  <si>
    <t>PURINA® COUNTRY ACRES 16% LAYER CRUMBLE</t>
  </si>
  <si>
    <t>PURINA® COUNTRY ACRES CAT</t>
  </si>
  <si>
    <t>PURINA® COURSE CRACKED CORN</t>
  </si>
  <si>
    <t>PURINA® DUCK FEED PELLETS</t>
  </si>
  <si>
    <t>PURINA® ENRICH PLUS® RATION BALANCING HORSE FEED</t>
  </si>
  <si>
    <t>PURINA® EQUINE SENIOR® HORSE FEED</t>
  </si>
  <si>
    <t>PURINA® EQUINE SENIOR® ACTIVE HORSE FEED</t>
  </si>
  <si>
    <t>PURINA® GAME FISH CHOW</t>
  </si>
  <si>
    <t>PURINA® GRAINLAND SELECT WHOLE OATS</t>
  </si>
  <si>
    <t>PURINA® IMPACT® ALL STAGES 12% PELLETED HORSE FEED</t>
  </si>
  <si>
    <t>PURINA® IMPACT® ALL STAGES 12% TEXTURED HORSE FEED</t>
  </si>
  <si>
    <t>PURINA® IMPACT® HAY STRETCHER HORSE FEED</t>
  </si>
  <si>
    <t>PURINA® IMPACT® PROFESSIONAL PERFORMANCE HORSE FEED</t>
  </si>
  <si>
    <t>PURINA® IMPACT PROFESSIONAL SENIOR HORSE FEED</t>
  </si>
  <si>
    <t>PURINA® LAYENA® CRUMBLES</t>
  </si>
  <si>
    <t>PURINA® LAYENA® + HIGH PROTEIN LAYER FEED</t>
  </si>
  <si>
    <t>PURINA® LAYENA® + OMEGA-3</t>
  </si>
  <si>
    <t>PURINA® LAYENA® PELLETS</t>
  </si>
  <si>
    <t>PURINA® OMEGA MATCH® RATION BALANCING HORSE FEED</t>
  </si>
  <si>
    <t>PURINA® OMEGA MATCH® AHIFLOWER® OIL SUPPLEMENT</t>
  </si>
  <si>
    <t>PURINA® OMOLENE® #100 ACTIVE PLEASURE HORSE FEED</t>
  </si>
  <si>
    <t>PURINA® OMOLENE® #200 PERFORMANCE HORSE FEED</t>
  </si>
  <si>
    <t>PURINA® OMOLENE® #400 COMPLETE ADVANTAGE HORSE FEED</t>
  </si>
  <si>
    <t>PURINA® OUTLAST® GASTRIC SUPPORT HORSE SUPPLEMENT</t>
  </si>
  <si>
    <t>PURINA® PREMIUM DEER BLOCK</t>
  </si>
  <si>
    <t>PURINA® APPLE &amp; OAT-FLAVORED HORSE TREATS</t>
  </si>
  <si>
    <t>PURINA® FLOCK BLOCK®</t>
  </si>
  <si>
    <t>PURINA® GOAT BLOCK</t>
  </si>
  <si>
    <t>PURINA® GOAT CHOW® PLUS UP GOAT FEED</t>
  </si>
  <si>
    <t>PURINA® WIND AND RAIN® GOAT MINERAL</t>
  </si>
  <si>
    <t>PURINA® FARM TO FLOCK® LARVAE FOR LADIES™ HEN TREATS</t>
  </si>
  <si>
    <t>PURINA® MEAT GOAT GROWER 16 DQ</t>
  </si>
  <si>
    <t>PURINA® MINIATURE HORSE &amp; PONY FEED</t>
  </si>
  <si>
    <t>PURINA® SYSTEMIQ® PROBIOTIC HORSE SUPPLEMENT</t>
  </si>
  <si>
    <t>PURINA® NICKER MAKERS® HORSE TREATS</t>
  </si>
  <si>
    <t>PURINA® ORGANIC LAYER CRUMBLES CHICKEN FEED</t>
  </si>
  <si>
    <t>PURINA® ORGANIC LAYER PELLETS CHICKEN FOOD</t>
  </si>
  <si>
    <t>PURINA® ORGANIC SCRATCH GRAINS FOR CHICKENS</t>
  </si>
  <si>
    <t>PURINA® OUTLAST® HORSE TREATS</t>
  </si>
  <si>
    <t>PURINA® PROBIOTIC DIGESTIVE SUPPLIMENT FOR POULTY</t>
  </si>
  <si>
    <t>PURINA® RACE READY® HORSE FEED</t>
  </si>
  <si>
    <t>PURINA® REPLENIMASH® PRODUCT</t>
  </si>
  <si>
    <t>PURINA® SUPERSPORT® AMINO ACID HORSE SUPPLEMENT</t>
  </si>
  <si>
    <t>PURINA® COMPLETE RABBIT FEED</t>
  </si>
  <si>
    <t>PURINA® PROFESSIONAL RABBIT FEED</t>
  </si>
  <si>
    <t>PURINA® SCRATCH GRAINS</t>
  </si>
  <si>
    <t>PURINA® START &amp; GROW® MEDICATED CHICK FOOD</t>
  </si>
  <si>
    <t>PURINA® START &amp; GROW® NON-MEDICATED CHICK FOOD</t>
  </si>
  <si>
    <t>PURINA® STRATEGY® PROFESSIONAL FORMULA GX HORSE FEED</t>
  </si>
  <si>
    <t>PURINA® STRATEGY® HEALTHY EDGE® HORSE FEED</t>
  </si>
  <si>
    <t>PURINA® ULTIUM® COMPETITION HORSE FORMULA</t>
  </si>
  <si>
    <t>PURINA® ULTIUM® GASTRIC CARE HORSE FEED</t>
  </si>
  <si>
    <t>PURINA® ULTIUM® GROWTH HORSE FORMULA</t>
  </si>
  <si>
    <t>PURINA® WELLSOLVE L/S® HORSE FEED</t>
  </si>
  <si>
    <t>PURINA® WIND &amp; RAIN® SHEEP MINERAL</t>
  </si>
  <si>
    <t>PURINA® ANTLERMAX® PREMIUM DEER MINERAL</t>
  </si>
  <si>
    <t>parent</t>
  </si>
  <si>
    <t>option_1</t>
  </si>
  <si>
    <t>option_2</t>
  </si>
  <si>
    <t>option_3</t>
  </si>
  <si>
    <t>option_4</t>
  </si>
  <si>
    <t>color</t>
  </si>
  <si>
    <t>3 - 0.17 OZ PACKETS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</si>
</sst>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rialMT"/>
      <family val="2"/>
    </font>
    <font>
      <u/>
      <sz val="11"/>
      <color theme="10"/>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2"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C2E4C-43DE-1149-9743-AA8FD8D35C0A}">
  <dimension ref="A1:AX63"/>
  <sheetViews>
    <sheetView tabSelected="1" workbookViewId="0">
      <selection activeCell="F1" sqref="A1:XFD1"/>
    </sheetView>
  </sheetViews>
  <sheetFormatPr baseColWidth="10" defaultRowHeight="16"/>
  <cols>
    <col min="1" max="1" width="6" bestFit="1" customWidth="1"/>
    <col min="2" max="2" width="19.42578125" bestFit="1" customWidth="1"/>
    <col min="3" max="3" width="119.7109375" hidden="1" customWidth="1"/>
    <col min="4" max="4" width="14.5703125" bestFit="1" customWidth="1"/>
    <col min="5" max="5" width="8.28515625" bestFit="1" customWidth="1"/>
    <col min="6" max="9" width="8.28515625" customWidth="1"/>
    <col min="10" max="10" width="61.28515625" bestFit="1" customWidth="1"/>
    <col min="11" max="11" width="22.5703125" bestFit="1" customWidth="1"/>
    <col min="12" max="12" width="21.5703125" bestFit="1" customWidth="1"/>
    <col min="13" max="13" width="7" bestFit="1" customWidth="1"/>
    <col min="14" max="14" width="7" customWidth="1"/>
    <col min="15" max="15" width="18.140625" bestFit="1" customWidth="1"/>
    <col min="16" max="16" width="27.7109375" bestFit="1" customWidth="1"/>
    <col min="17" max="17" width="27.28515625" bestFit="1" customWidth="1"/>
    <col min="18" max="18" width="8.140625" bestFit="1" customWidth="1"/>
    <col min="19" max="19" width="9.7109375" bestFit="1" customWidth="1"/>
    <col min="20" max="20" width="13" bestFit="1" customWidth="1"/>
    <col min="21" max="21" width="17.42578125" bestFit="1" customWidth="1"/>
    <col min="22" max="22" width="10.28515625" bestFit="1" customWidth="1"/>
    <col min="23" max="23" width="14.42578125" bestFit="1" customWidth="1"/>
    <col min="24" max="24" width="13.7109375" bestFit="1" customWidth="1"/>
    <col min="25" max="25" width="6.5703125" bestFit="1" customWidth="1"/>
    <col min="27" max="27" width="17.5703125" bestFit="1" customWidth="1"/>
    <col min="28" max="28" width="13" bestFit="1" customWidth="1"/>
    <col min="29" max="30" width="17.5703125" bestFit="1" customWidth="1"/>
    <col min="31" max="31" width="12.7109375" bestFit="1" customWidth="1"/>
    <col min="32" max="32" width="13.42578125" bestFit="1" customWidth="1"/>
    <col min="33" max="33" width="17.5703125" bestFit="1" customWidth="1"/>
    <col min="34" max="34" width="18.5703125" bestFit="1" customWidth="1"/>
    <col min="35" max="35" width="27.7109375" bestFit="1" customWidth="1"/>
    <col min="36" max="36" width="13" bestFit="1" customWidth="1"/>
    <col min="37" max="37" width="4.7109375" bestFit="1" customWidth="1"/>
    <col min="38" max="38" width="13.140625" bestFit="1" customWidth="1"/>
    <col min="39" max="39" width="12.85546875" bestFit="1" customWidth="1"/>
    <col min="40" max="40" width="131.42578125" bestFit="1" customWidth="1"/>
    <col min="41" max="41" width="22.140625" bestFit="1" customWidth="1"/>
    <col min="42" max="42" width="33.140625" bestFit="1" customWidth="1"/>
    <col min="43" max="43" width="70" customWidth="1"/>
    <col min="44" max="44" width="68.42578125" bestFit="1" customWidth="1"/>
    <col min="45" max="45" width="11.42578125" bestFit="1" customWidth="1"/>
    <col min="46" max="46" width="13.5703125" bestFit="1" customWidth="1"/>
    <col min="47" max="47" width="14.85546875" bestFit="1" customWidth="1"/>
    <col min="48" max="48" width="24.7109375" bestFit="1" customWidth="1"/>
    <col min="49" max="49" width="25.140625" bestFit="1" customWidth="1"/>
    <col min="50" max="50" width="255.7109375" bestFit="1" customWidth="1"/>
  </cols>
  <sheetData>
    <row r="1" spans="1:50">
      <c r="A1" s="2" t="s">
        <v>1029</v>
      </c>
      <c r="B1" s="2" t="s">
        <v>1030</v>
      </c>
      <c r="C1" s="2" t="s">
        <v>1031</v>
      </c>
      <c r="D1" s="2" t="s">
        <v>1032</v>
      </c>
      <c r="E1" s="2" t="s">
        <v>1151</v>
      </c>
      <c r="F1" s="2" t="s">
        <v>1152</v>
      </c>
      <c r="G1" s="2" t="s">
        <v>1153</v>
      </c>
      <c r="H1" s="2" t="s">
        <v>1154</v>
      </c>
      <c r="I1" s="2" t="s">
        <v>1155</v>
      </c>
      <c r="J1" s="2" t="s">
        <v>1033</v>
      </c>
      <c r="K1" s="2" t="s">
        <v>1034</v>
      </c>
      <c r="L1" s="2" t="s">
        <v>1035</v>
      </c>
      <c r="M1" s="2" t="s">
        <v>1036</v>
      </c>
      <c r="N1" s="2" t="s">
        <v>1156</v>
      </c>
      <c r="O1" s="2" t="s">
        <v>1037</v>
      </c>
      <c r="P1" s="2" t="s">
        <v>1038</v>
      </c>
      <c r="Q1" s="2" t="s">
        <v>1039</v>
      </c>
      <c r="R1" s="2" t="s">
        <v>1040</v>
      </c>
      <c r="S1" s="2" t="s">
        <v>1041</v>
      </c>
      <c r="T1" s="2" t="s">
        <v>1042</v>
      </c>
      <c r="U1" s="2" t="s">
        <v>1043</v>
      </c>
      <c r="V1" s="2" t="s">
        <v>1044</v>
      </c>
      <c r="W1" s="2" t="s">
        <v>1045</v>
      </c>
      <c r="X1" s="2" t="s">
        <v>1046</v>
      </c>
      <c r="Y1" s="2" t="s">
        <v>1047</v>
      </c>
      <c r="Z1" s="2" t="s">
        <v>1048</v>
      </c>
      <c r="AA1" s="2" t="s">
        <v>1049</v>
      </c>
      <c r="AB1" s="2" t="s">
        <v>1050</v>
      </c>
      <c r="AC1" s="2" t="s">
        <v>1051</v>
      </c>
      <c r="AD1" s="2" t="s">
        <v>1052</v>
      </c>
      <c r="AE1" s="2" t="s">
        <v>1053</v>
      </c>
      <c r="AF1" s="2" t="s">
        <v>1054</v>
      </c>
      <c r="AG1" s="2" t="s">
        <v>1055</v>
      </c>
      <c r="AH1" s="2" t="s">
        <v>1056</v>
      </c>
      <c r="AI1" s="2" t="s">
        <v>1057</v>
      </c>
      <c r="AJ1" s="2" t="s">
        <v>1058</v>
      </c>
      <c r="AK1" s="2" t="s">
        <v>1059</v>
      </c>
      <c r="AL1" s="2" t="s">
        <v>1060</v>
      </c>
      <c r="AM1" s="2" t="s">
        <v>1061</v>
      </c>
      <c r="AN1" s="2" t="s">
        <v>1062</v>
      </c>
      <c r="AO1" s="2" t="s">
        <v>1063</v>
      </c>
      <c r="AP1" s="2" t="s">
        <v>1064</v>
      </c>
      <c r="AQ1" s="2" t="s">
        <v>1065</v>
      </c>
      <c r="AR1" s="2" t="s">
        <v>1066</v>
      </c>
      <c r="AS1" s="2" t="s">
        <v>1067</v>
      </c>
      <c r="AT1" s="2" t="s">
        <v>1068</v>
      </c>
      <c r="AU1" s="2" t="s">
        <v>1069</v>
      </c>
      <c r="AV1" s="2" t="s">
        <v>1070</v>
      </c>
      <c r="AW1" s="2" t="s">
        <v>1071</v>
      </c>
      <c r="AX1" s="2" t="s">
        <v>1072</v>
      </c>
    </row>
    <row r="2" spans="1:50">
      <c r="A2" t="s">
        <v>45</v>
      </c>
      <c r="B2" t="s">
        <v>1</v>
      </c>
      <c r="C2" t="str">
        <f t="shared" ref="C2:C33" si="0">CONCATENATE("DOES THE COMPANY THAT MAKES ",J2," ",AI2," HAVE A WEBSITE")</f>
        <v>DOES THE COMPANY THAT MAKES PURINA® AMPLIFY® HIGH-FAT HORSE SUPPLEMENT 804273058207 HAVE A WEBSITE</v>
      </c>
      <c r="D2" t="s">
        <v>2</v>
      </c>
      <c r="J2" t="s">
        <v>1093</v>
      </c>
      <c r="K2" s="1" t="s">
        <v>3</v>
      </c>
      <c r="O2" t="s">
        <v>1073</v>
      </c>
      <c r="P2" t="s">
        <v>46</v>
      </c>
      <c r="R2" t="s">
        <v>47</v>
      </c>
      <c r="V2" t="s">
        <v>48</v>
      </c>
      <c r="W2" t="s">
        <v>49</v>
      </c>
      <c r="X2" t="s">
        <v>50</v>
      </c>
      <c r="Y2" t="s">
        <v>51</v>
      </c>
      <c r="Z2" t="s">
        <v>52</v>
      </c>
      <c r="AA2" t="s">
        <v>53</v>
      </c>
      <c r="AB2" t="s">
        <v>51</v>
      </c>
      <c r="AC2" t="s">
        <v>54</v>
      </c>
      <c r="AD2" t="s">
        <v>55</v>
      </c>
      <c r="AE2" t="s">
        <v>56</v>
      </c>
      <c r="AF2" t="s">
        <v>57</v>
      </c>
      <c r="AG2" t="s">
        <v>58</v>
      </c>
      <c r="AH2" t="s">
        <v>59</v>
      </c>
      <c r="AI2" t="s">
        <v>46</v>
      </c>
      <c r="AJ2" t="str">
        <f t="shared" ref="AJ2:AJ9" si="1">IF(ISBLANK(AI2),"",TEXT(AI2,"000000000000"))</f>
        <v>804273058207</v>
      </c>
      <c r="AL2">
        <v>1</v>
      </c>
      <c r="AM2" t="s">
        <v>19</v>
      </c>
      <c r="AN2" t="s">
        <v>60</v>
      </c>
      <c r="AO2" t="s">
        <v>21</v>
      </c>
      <c r="AP2" t="s">
        <v>61</v>
      </c>
      <c r="AQ2" t="s">
        <v>60</v>
      </c>
      <c r="AR2" t="s">
        <v>62</v>
      </c>
      <c r="AS2" t="s">
        <v>24</v>
      </c>
      <c r="AV2">
        <v>72.95</v>
      </c>
      <c r="AW2">
        <v>123.88</v>
      </c>
      <c r="AX2" t="s">
        <v>63</v>
      </c>
    </row>
    <row r="3" spans="1:50">
      <c r="A3" t="s">
        <v>64</v>
      </c>
      <c r="B3" t="s">
        <v>65</v>
      </c>
      <c r="C3" t="str">
        <f t="shared" si="0"/>
        <v>DOES THE COMPANY THAT MAKES PURINA® COUNTRY ACRES 12% SWEET 50LB 804273045672 HAVE A WEBSITE</v>
      </c>
      <c r="D3" t="s">
        <v>2</v>
      </c>
      <c r="J3" t="s">
        <v>1094</v>
      </c>
      <c r="K3" s="1" t="s">
        <v>3</v>
      </c>
      <c r="O3" t="s">
        <v>1073</v>
      </c>
      <c r="P3" t="s">
        <v>66</v>
      </c>
      <c r="V3" t="s">
        <v>67</v>
      </c>
      <c r="W3" t="s">
        <v>68</v>
      </c>
      <c r="X3" t="s">
        <v>69</v>
      </c>
      <c r="Y3" t="s">
        <v>70</v>
      </c>
      <c r="Z3" t="s">
        <v>71</v>
      </c>
      <c r="AA3" t="s">
        <v>72</v>
      </c>
      <c r="AB3" t="s">
        <v>70</v>
      </c>
      <c r="AC3" t="s">
        <v>73</v>
      </c>
      <c r="AD3" t="s">
        <v>74</v>
      </c>
      <c r="AE3" t="s">
        <v>75</v>
      </c>
      <c r="AF3" t="s">
        <v>76</v>
      </c>
      <c r="AG3" t="s">
        <v>77</v>
      </c>
      <c r="AH3" t="s">
        <v>78</v>
      </c>
      <c r="AI3" t="s">
        <v>66</v>
      </c>
      <c r="AJ3" t="str">
        <f t="shared" si="1"/>
        <v>804273045672</v>
      </c>
      <c r="AL3">
        <v>0</v>
      </c>
      <c r="AM3" t="s">
        <v>79</v>
      </c>
    </row>
    <row r="4" spans="1:50">
      <c r="A4" t="s">
        <v>80</v>
      </c>
      <c r="B4" t="s">
        <v>81</v>
      </c>
      <c r="C4" t="str">
        <f t="shared" si="0"/>
        <v>DOES THE COMPANY THAT MAKES PURINA® COUNTRY ACRES 16% LAYER CRUMBLE 804273104546 HAVE A WEBSITE</v>
      </c>
      <c r="D4" t="s">
        <v>2</v>
      </c>
      <c r="J4" t="s">
        <v>1095</v>
      </c>
      <c r="K4" s="1" t="s">
        <v>3</v>
      </c>
      <c r="L4" t="s">
        <v>82</v>
      </c>
      <c r="O4" t="s">
        <v>1073</v>
      </c>
      <c r="P4" t="s">
        <v>83</v>
      </c>
      <c r="V4" t="s">
        <v>84</v>
      </c>
      <c r="W4" t="s">
        <v>85</v>
      </c>
      <c r="X4" t="s">
        <v>86</v>
      </c>
      <c r="Y4" t="s">
        <v>87</v>
      </c>
      <c r="Z4" t="s">
        <v>88</v>
      </c>
      <c r="AA4" t="s">
        <v>89</v>
      </c>
      <c r="AB4" t="s">
        <v>87</v>
      </c>
      <c r="AC4" t="s">
        <v>90</v>
      </c>
      <c r="AD4" t="s">
        <v>91</v>
      </c>
      <c r="AE4" t="s">
        <v>86</v>
      </c>
      <c r="AF4" t="s">
        <v>85</v>
      </c>
      <c r="AG4" t="s">
        <v>92</v>
      </c>
      <c r="AH4" t="s">
        <v>93</v>
      </c>
      <c r="AI4" t="s">
        <v>83</v>
      </c>
      <c r="AJ4" t="str">
        <f t="shared" si="1"/>
        <v>804273104546</v>
      </c>
      <c r="AL4">
        <v>0</v>
      </c>
      <c r="AM4" t="s">
        <v>79</v>
      </c>
    </row>
    <row r="5" spans="1:50">
      <c r="A5" t="s">
        <v>94</v>
      </c>
      <c r="B5" t="s">
        <v>95</v>
      </c>
      <c r="C5" t="str">
        <f t="shared" si="0"/>
        <v>DOES THE COMPANY THAT MAKES PURINA® COUNTRY ACRES CAT 742869003692 HAVE A WEBSITE</v>
      </c>
      <c r="D5" t="s">
        <v>2</v>
      </c>
      <c r="J5" t="s">
        <v>1096</v>
      </c>
      <c r="K5" s="1" t="s">
        <v>3</v>
      </c>
      <c r="O5" t="s">
        <v>1074</v>
      </c>
      <c r="P5" t="s">
        <v>96</v>
      </c>
      <c r="Q5" t="s">
        <v>97</v>
      </c>
      <c r="V5" t="s">
        <v>98</v>
      </c>
      <c r="W5" t="s">
        <v>99</v>
      </c>
      <c r="X5" t="s">
        <v>100</v>
      </c>
      <c r="Y5" t="s">
        <v>101</v>
      </c>
      <c r="Z5" t="s">
        <v>102</v>
      </c>
      <c r="AA5" t="s">
        <v>103</v>
      </c>
      <c r="AB5" t="s">
        <v>101</v>
      </c>
      <c r="AC5" t="s">
        <v>104</v>
      </c>
      <c r="AD5" t="s">
        <v>105</v>
      </c>
      <c r="AE5" t="s">
        <v>106</v>
      </c>
      <c r="AF5" t="s">
        <v>107</v>
      </c>
      <c r="AG5" t="s">
        <v>108</v>
      </c>
      <c r="AH5" t="s">
        <v>109</v>
      </c>
      <c r="AI5" t="s">
        <v>96</v>
      </c>
      <c r="AJ5" t="str">
        <f t="shared" si="1"/>
        <v>742869003692</v>
      </c>
      <c r="AL5">
        <v>1</v>
      </c>
      <c r="AM5" t="s">
        <v>19</v>
      </c>
      <c r="AN5" t="s">
        <v>110</v>
      </c>
      <c r="AO5" t="s">
        <v>21</v>
      </c>
      <c r="AP5" t="s">
        <v>111</v>
      </c>
      <c r="AQ5" t="s">
        <v>110</v>
      </c>
      <c r="AS5" t="s">
        <v>112</v>
      </c>
      <c r="AV5">
        <v>81.27</v>
      </c>
      <c r="AW5">
        <v>105.68</v>
      </c>
      <c r="AX5" t="s">
        <v>113</v>
      </c>
    </row>
    <row r="6" spans="1:50">
      <c r="A6" t="s">
        <v>114</v>
      </c>
      <c r="B6" t="s">
        <v>1</v>
      </c>
      <c r="C6" t="str">
        <f t="shared" si="0"/>
        <v>DOES THE COMPANY THAT MAKES PURINA® COURSE CRACKED CORN 883576002926 HAVE A WEBSITE</v>
      </c>
      <c r="D6" t="s">
        <v>2</v>
      </c>
      <c r="J6" t="s">
        <v>1097</v>
      </c>
      <c r="K6" s="1" t="s">
        <v>3</v>
      </c>
      <c r="O6" t="s">
        <v>1073</v>
      </c>
      <c r="P6" t="s">
        <v>115</v>
      </c>
      <c r="Q6" t="s">
        <v>116</v>
      </c>
      <c r="R6" t="s">
        <v>47</v>
      </c>
      <c r="U6" t="s">
        <v>117</v>
      </c>
      <c r="V6" t="s">
        <v>118</v>
      </c>
      <c r="W6" t="s">
        <v>119</v>
      </c>
      <c r="X6" t="s">
        <v>120</v>
      </c>
      <c r="Y6" t="s">
        <v>121</v>
      </c>
      <c r="Z6" t="s">
        <v>122</v>
      </c>
      <c r="AA6" t="s">
        <v>123</v>
      </c>
      <c r="AB6" t="s">
        <v>121</v>
      </c>
      <c r="AC6" t="s">
        <v>124</v>
      </c>
      <c r="AD6" t="s">
        <v>125</v>
      </c>
      <c r="AE6" t="s">
        <v>126</v>
      </c>
      <c r="AF6" t="s">
        <v>85</v>
      </c>
      <c r="AG6" t="s">
        <v>127</v>
      </c>
      <c r="AH6" t="s">
        <v>128</v>
      </c>
      <c r="AI6" t="s">
        <v>115</v>
      </c>
      <c r="AJ6" t="str">
        <f t="shared" si="1"/>
        <v>883576002926</v>
      </c>
      <c r="AL6">
        <v>1</v>
      </c>
      <c r="AM6" t="s">
        <v>19</v>
      </c>
      <c r="AN6" t="s">
        <v>129</v>
      </c>
      <c r="AO6" t="s">
        <v>21</v>
      </c>
      <c r="AP6" t="s">
        <v>130</v>
      </c>
      <c r="AQ6" t="s">
        <v>129</v>
      </c>
      <c r="AR6" t="s">
        <v>131</v>
      </c>
      <c r="AV6">
        <v>37.840000000000003</v>
      </c>
      <c r="AW6">
        <v>74.27</v>
      </c>
      <c r="AX6" t="s">
        <v>132</v>
      </c>
    </row>
    <row r="7" spans="1:50">
      <c r="A7" t="s">
        <v>133</v>
      </c>
      <c r="B7" t="s">
        <v>134</v>
      </c>
      <c r="C7" t="str">
        <f t="shared" si="0"/>
        <v>DOES THE COMPANY THAT MAKES PURINA® DUCK FEED PELLETS 804273059624 HAVE A WEBSITE</v>
      </c>
      <c r="D7" t="s">
        <v>2</v>
      </c>
      <c r="J7" t="s">
        <v>1098</v>
      </c>
      <c r="K7" s="1" t="s">
        <v>3</v>
      </c>
      <c r="O7" t="s">
        <v>1074</v>
      </c>
      <c r="P7" t="s">
        <v>135</v>
      </c>
      <c r="V7" t="s">
        <v>136</v>
      </c>
      <c r="W7" t="s">
        <v>137</v>
      </c>
      <c r="X7" t="s">
        <v>138</v>
      </c>
      <c r="Y7" t="s">
        <v>139</v>
      </c>
      <c r="Z7" t="s">
        <v>140</v>
      </c>
      <c r="AA7" t="s">
        <v>141</v>
      </c>
      <c r="AB7" t="s">
        <v>139</v>
      </c>
      <c r="AC7" t="s">
        <v>142</v>
      </c>
      <c r="AD7" t="s">
        <v>143</v>
      </c>
      <c r="AE7" t="s">
        <v>144</v>
      </c>
      <c r="AF7" t="s">
        <v>145</v>
      </c>
      <c r="AG7" t="s">
        <v>146</v>
      </c>
      <c r="AH7" t="s">
        <v>147</v>
      </c>
      <c r="AI7" t="s">
        <v>135</v>
      </c>
      <c r="AJ7" t="str">
        <f t="shared" si="1"/>
        <v>804273059624</v>
      </c>
      <c r="AL7">
        <v>1</v>
      </c>
      <c r="AM7" t="s">
        <v>19</v>
      </c>
      <c r="AN7" t="s">
        <v>148</v>
      </c>
      <c r="AO7" t="s">
        <v>21</v>
      </c>
      <c r="AP7" t="s">
        <v>149</v>
      </c>
      <c r="AQ7" t="s">
        <v>150</v>
      </c>
      <c r="AR7" t="s">
        <v>131</v>
      </c>
      <c r="AV7">
        <v>17.95</v>
      </c>
      <c r="AW7">
        <v>86.81</v>
      </c>
      <c r="AX7" t="s">
        <v>151</v>
      </c>
    </row>
    <row r="8" spans="1:50">
      <c r="A8" t="s">
        <v>152</v>
      </c>
      <c r="B8" t="s">
        <v>1</v>
      </c>
      <c r="C8" t="str">
        <f t="shared" si="0"/>
        <v>DOES THE COMPANY THAT MAKES PURINA® ENRICH PLUS® RATION BALANCING HORSE FEED 804273038889 HAVE A WEBSITE</v>
      </c>
      <c r="D8" t="s">
        <v>2</v>
      </c>
      <c r="J8" t="s">
        <v>1099</v>
      </c>
      <c r="K8" s="1" t="s">
        <v>3</v>
      </c>
      <c r="O8" t="s">
        <v>1073</v>
      </c>
      <c r="P8" t="s">
        <v>153</v>
      </c>
      <c r="R8" t="s">
        <v>47</v>
      </c>
      <c r="V8" t="s">
        <v>154</v>
      </c>
      <c r="W8" t="s">
        <v>155</v>
      </c>
      <c r="X8" t="s">
        <v>156</v>
      </c>
      <c r="Y8" t="s">
        <v>157</v>
      </c>
      <c r="Z8" t="s">
        <v>158</v>
      </c>
      <c r="AA8" t="s">
        <v>159</v>
      </c>
      <c r="AB8" t="s">
        <v>157</v>
      </c>
      <c r="AC8" t="s">
        <v>160</v>
      </c>
      <c r="AD8" t="s">
        <v>161</v>
      </c>
      <c r="AE8" t="s">
        <v>162</v>
      </c>
      <c r="AF8" t="s">
        <v>163</v>
      </c>
      <c r="AG8" t="s">
        <v>164</v>
      </c>
      <c r="AH8" t="s">
        <v>165</v>
      </c>
      <c r="AI8" t="s">
        <v>153</v>
      </c>
      <c r="AJ8" t="str">
        <f t="shared" si="1"/>
        <v>804273038889</v>
      </c>
      <c r="AL8">
        <v>1</v>
      </c>
      <c r="AM8" t="s">
        <v>19</v>
      </c>
      <c r="AN8" t="s">
        <v>166</v>
      </c>
      <c r="AO8" t="s">
        <v>21</v>
      </c>
      <c r="AP8" t="s">
        <v>167</v>
      </c>
      <c r="AQ8" t="s">
        <v>168</v>
      </c>
      <c r="AR8" t="s">
        <v>169</v>
      </c>
      <c r="AV8">
        <v>39.49</v>
      </c>
      <c r="AW8">
        <v>130.16999999999999</v>
      </c>
      <c r="AX8" t="s">
        <v>170</v>
      </c>
    </row>
    <row r="9" spans="1:50">
      <c r="A9" t="s">
        <v>171</v>
      </c>
      <c r="B9" t="s">
        <v>1</v>
      </c>
      <c r="C9" t="str">
        <f t="shared" si="0"/>
        <v>DOES THE COMPANY THAT MAKES PURINA® EQUINE SENIOR® HORSE FEED 804273082417 HAVE A WEBSITE</v>
      </c>
      <c r="D9" t="s">
        <v>2</v>
      </c>
      <c r="J9" t="s">
        <v>1100</v>
      </c>
      <c r="K9" s="1" t="s">
        <v>3</v>
      </c>
      <c r="O9" t="s">
        <v>1073</v>
      </c>
      <c r="P9" t="s">
        <v>172</v>
      </c>
      <c r="Q9" t="s">
        <v>173</v>
      </c>
      <c r="R9" t="s">
        <v>47</v>
      </c>
      <c r="U9" t="s">
        <v>6</v>
      </c>
      <c r="V9" t="s">
        <v>174</v>
      </c>
      <c r="W9" t="s">
        <v>175</v>
      </c>
      <c r="X9" t="s">
        <v>176</v>
      </c>
      <c r="Y9" t="s">
        <v>177</v>
      </c>
      <c r="Z9" t="s">
        <v>178</v>
      </c>
      <c r="AA9" t="s">
        <v>179</v>
      </c>
      <c r="AB9" t="s">
        <v>177</v>
      </c>
      <c r="AC9" t="s">
        <v>180</v>
      </c>
      <c r="AD9" t="s">
        <v>181</v>
      </c>
      <c r="AE9" t="s">
        <v>182</v>
      </c>
      <c r="AF9" t="s">
        <v>183</v>
      </c>
      <c r="AG9" t="s">
        <v>184</v>
      </c>
      <c r="AH9" t="s">
        <v>185</v>
      </c>
      <c r="AI9" t="s">
        <v>172</v>
      </c>
      <c r="AJ9" t="str">
        <f t="shared" si="1"/>
        <v>804273082417</v>
      </c>
      <c r="AL9">
        <v>1</v>
      </c>
      <c r="AM9" t="s">
        <v>19</v>
      </c>
      <c r="AN9" t="s">
        <v>186</v>
      </c>
      <c r="AO9" t="s">
        <v>21</v>
      </c>
      <c r="AP9" t="s">
        <v>187</v>
      </c>
      <c r="AQ9" t="s">
        <v>188</v>
      </c>
      <c r="AR9" t="s">
        <v>189</v>
      </c>
      <c r="AS9" t="s">
        <v>190</v>
      </c>
      <c r="AV9">
        <v>36.21</v>
      </c>
      <c r="AW9">
        <v>92.42</v>
      </c>
      <c r="AX9" t="s">
        <v>191</v>
      </c>
    </row>
    <row r="10" spans="1:50">
      <c r="A10" t="s">
        <v>0</v>
      </c>
      <c r="B10" t="s">
        <v>1</v>
      </c>
      <c r="C10" t="str">
        <f t="shared" si="0"/>
        <v>DOES THE COMPANY THAT MAKES PURINA® EQUINE SENIOR® ACTIVE HORSE FEED 804273043388.0, 804273082424 HAVE A WEBSITE</v>
      </c>
      <c r="D10" t="s">
        <v>2</v>
      </c>
      <c r="J10" t="s">
        <v>1101</v>
      </c>
      <c r="K10" s="1" t="s">
        <v>3</v>
      </c>
      <c r="O10" t="s">
        <v>1073</v>
      </c>
      <c r="P10" t="s">
        <v>4</v>
      </c>
      <c r="Q10" t="s">
        <v>5</v>
      </c>
      <c r="U10" t="s">
        <v>6</v>
      </c>
      <c r="V10" t="s">
        <v>7</v>
      </c>
      <c r="W10" t="s">
        <v>8</v>
      </c>
      <c r="X10" t="s">
        <v>9</v>
      </c>
      <c r="Y10" t="s">
        <v>10</v>
      </c>
      <c r="Z10" t="s">
        <v>11</v>
      </c>
      <c r="AA10" t="s">
        <v>12</v>
      </c>
      <c r="AB10" t="s">
        <v>10</v>
      </c>
      <c r="AC10" t="s">
        <v>13</v>
      </c>
      <c r="AD10" t="s">
        <v>14</v>
      </c>
      <c r="AE10" t="s">
        <v>15</v>
      </c>
      <c r="AF10" t="s">
        <v>16</v>
      </c>
      <c r="AG10" t="s">
        <v>17</v>
      </c>
      <c r="AH10" t="s">
        <v>18</v>
      </c>
      <c r="AI10" t="s">
        <v>4</v>
      </c>
      <c r="AJ10" t="str">
        <f>TEXT(_xlfn.TEXTBEFORE(AI10,".",1,1,0,AI10),"000000000000")</f>
        <v>804273043388</v>
      </c>
      <c r="AL10">
        <v>1</v>
      </c>
      <c r="AM10" t="s">
        <v>19</v>
      </c>
      <c r="AN10" t="s">
        <v>20</v>
      </c>
      <c r="AO10" t="s">
        <v>21</v>
      </c>
      <c r="AP10" t="s">
        <v>22</v>
      </c>
      <c r="AQ10" t="s">
        <v>20</v>
      </c>
      <c r="AR10" t="s">
        <v>23</v>
      </c>
      <c r="AS10" t="s">
        <v>24</v>
      </c>
      <c r="AV10">
        <v>53.99</v>
      </c>
      <c r="AW10">
        <v>93.55</v>
      </c>
      <c r="AX10" t="s">
        <v>25</v>
      </c>
    </row>
    <row r="11" spans="1:50">
      <c r="A11" t="s">
        <v>192</v>
      </c>
      <c r="B11" t="s">
        <v>193</v>
      </c>
      <c r="C11" t="str">
        <f t="shared" si="0"/>
        <v>DOES THE COMPANY THAT MAKES PURINA® GAME FISH CHOW 804273000923 HAVE A WEBSITE</v>
      </c>
      <c r="D11" t="s">
        <v>2</v>
      </c>
      <c r="J11" t="s">
        <v>1102</v>
      </c>
      <c r="K11" s="1" t="s">
        <v>3</v>
      </c>
      <c r="O11" t="s">
        <v>1073</v>
      </c>
      <c r="P11" t="s">
        <v>194</v>
      </c>
      <c r="V11" t="s">
        <v>195</v>
      </c>
      <c r="W11" t="s">
        <v>196</v>
      </c>
      <c r="X11" t="s">
        <v>197</v>
      </c>
      <c r="Y11" t="s">
        <v>198</v>
      </c>
      <c r="Z11" t="s">
        <v>199</v>
      </c>
      <c r="AA11" t="s">
        <v>200</v>
      </c>
      <c r="AB11" t="s">
        <v>198</v>
      </c>
      <c r="AC11" t="s">
        <v>201</v>
      </c>
      <c r="AD11" t="s">
        <v>202</v>
      </c>
      <c r="AE11" t="s">
        <v>203</v>
      </c>
      <c r="AF11" t="s">
        <v>202</v>
      </c>
      <c r="AG11" t="s">
        <v>204</v>
      </c>
      <c r="AH11" t="s">
        <v>205</v>
      </c>
      <c r="AI11" t="s">
        <v>194</v>
      </c>
      <c r="AJ11" t="str">
        <f t="shared" ref="AJ11:AJ37" si="2">IF(ISBLANK(AI11),"",TEXT(AI11,"000000000000"))</f>
        <v>804273000923</v>
      </c>
      <c r="AL11">
        <v>1</v>
      </c>
      <c r="AM11" t="s">
        <v>19</v>
      </c>
      <c r="AN11" t="s">
        <v>206</v>
      </c>
      <c r="AO11" t="s">
        <v>207</v>
      </c>
      <c r="AP11" t="s">
        <v>208</v>
      </c>
      <c r="AQ11" t="s">
        <v>209</v>
      </c>
      <c r="AR11" t="s">
        <v>131</v>
      </c>
      <c r="AV11">
        <v>58.79</v>
      </c>
      <c r="AW11">
        <v>102.39</v>
      </c>
      <c r="AX11" t="s">
        <v>210</v>
      </c>
    </row>
    <row r="12" spans="1:50">
      <c r="A12" t="s">
        <v>211</v>
      </c>
      <c r="B12" t="s">
        <v>1</v>
      </c>
      <c r="C12" t="str">
        <f t="shared" si="0"/>
        <v>DOES THE COMPANY THAT MAKES PURINA® GRAINLAND SELECT WHOLE OATS 883576003015 HAVE A WEBSITE</v>
      </c>
      <c r="D12" t="s">
        <v>2</v>
      </c>
      <c r="J12" t="s">
        <v>1103</v>
      </c>
      <c r="K12" s="1" t="s">
        <v>3</v>
      </c>
      <c r="O12" t="s">
        <v>1073</v>
      </c>
      <c r="P12" t="s">
        <v>212</v>
      </c>
      <c r="V12" t="s">
        <v>84</v>
      </c>
      <c r="W12" t="s">
        <v>213</v>
      </c>
      <c r="X12" t="s">
        <v>214</v>
      </c>
      <c r="Y12" t="s">
        <v>215</v>
      </c>
      <c r="Z12" t="s">
        <v>216</v>
      </c>
      <c r="AA12" t="s">
        <v>217</v>
      </c>
      <c r="AB12" t="s">
        <v>215</v>
      </c>
      <c r="AC12" t="s">
        <v>218</v>
      </c>
      <c r="AD12" t="s">
        <v>219</v>
      </c>
      <c r="AE12" t="s">
        <v>214</v>
      </c>
      <c r="AF12" t="s">
        <v>213</v>
      </c>
      <c r="AG12" t="s">
        <v>220</v>
      </c>
      <c r="AH12" t="s">
        <v>221</v>
      </c>
      <c r="AI12" t="s">
        <v>212</v>
      </c>
      <c r="AJ12" t="str">
        <f t="shared" si="2"/>
        <v>883576003015</v>
      </c>
      <c r="AL12">
        <v>1</v>
      </c>
      <c r="AM12" t="s">
        <v>19</v>
      </c>
      <c r="AN12" t="s">
        <v>222</v>
      </c>
      <c r="AO12" t="s">
        <v>207</v>
      </c>
      <c r="AP12" t="s">
        <v>223</v>
      </c>
      <c r="AQ12" t="s">
        <v>224</v>
      </c>
      <c r="AR12" t="s">
        <v>225</v>
      </c>
      <c r="AV12">
        <v>41.3</v>
      </c>
      <c r="AW12">
        <v>93.2</v>
      </c>
      <c r="AX12" t="s">
        <v>226</v>
      </c>
    </row>
    <row r="13" spans="1:50">
      <c r="A13" t="s">
        <v>227</v>
      </c>
      <c r="B13" t="s">
        <v>1</v>
      </c>
      <c r="C13" t="str">
        <f t="shared" si="0"/>
        <v>DOES THE COMPANY THAT MAKES PURINA® IMPACT® ALL STAGES 12% PELLETED HORSE FEED 804273051659 HAVE A WEBSITE</v>
      </c>
      <c r="D13" t="s">
        <v>2</v>
      </c>
      <c r="J13" t="s">
        <v>1104</v>
      </c>
      <c r="K13" s="1" t="s">
        <v>3</v>
      </c>
      <c r="L13" t="s">
        <v>228</v>
      </c>
      <c r="O13" t="s">
        <v>1073</v>
      </c>
      <c r="P13" t="s">
        <v>229</v>
      </c>
      <c r="Q13" t="s">
        <v>230</v>
      </c>
      <c r="V13" t="s">
        <v>231</v>
      </c>
      <c r="W13" t="s">
        <v>232</v>
      </c>
      <c r="X13" t="s">
        <v>233</v>
      </c>
      <c r="Y13" t="s">
        <v>234</v>
      </c>
      <c r="Z13" t="s">
        <v>235</v>
      </c>
      <c r="AA13" t="s">
        <v>236</v>
      </c>
      <c r="AB13" t="s">
        <v>234</v>
      </c>
      <c r="AC13" t="s">
        <v>237</v>
      </c>
      <c r="AD13" t="s">
        <v>238</v>
      </c>
      <c r="AE13" t="s">
        <v>239</v>
      </c>
      <c r="AF13" t="s">
        <v>145</v>
      </c>
      <c r="AG13" t="s">
        <v>240</v>
      </c>
      <c r="AH13" t="s">
        <v>241</v>
      </c>
      <c r="AI13" t="s">
        <v>229</v>
      </c>
      <c r="AJ13" t="str">
        <f t="shared" si="2"/>
        <v>804273051659</v>
      </c>
      <c r="AL13">
        <v>1</v>
      </c>
      <c r="AM13" t="s">
        <v>19</v>
      </c>
      <c r="AN13" t="s">
        <v>242</v>
      </c>
      <c r="AO13" t="s">
        <v>21</v>
      </c>
      <c r="AP13" t="s">
        <v>243</v>
      </c>
      <c r="AQ13" t="s">
        <v>242</v>
      </c>
      <c r="AS13" t="s">
        <v>24</v>
      </c>
      <c r="AV13">
        <v>44.58</v>
      </c>
      <c r="AW13">
        <v>81.87</v>
      </c>
      <c r="AX13" t="s">
        <v>244</v>
      </c>
    </row>
    <row r="14" spans="1:50">
      <c r="A14" t="s">
        <v>245</v>
      </c>
      <c r="B14" t="s">
        <v>1</v>
      </c>
      <c r="C14" t="str">
        <f t="shared" si="0"/>
        <v>DOES THE COMPANY THAT MAKES PURINA® IMPACT® ALL STAGES 12% TEXTURED HORSE FEED 804273051666 HAVE A WEBSITE</v>
      </c>
      <c r="D14" t="s">
        <v>2</v>
      </c>
      <c r="J14" t="s">
        <v>1105</v>
      </c>
      <c r="K14" s="1" t="s">
        <v>3</v>
      </c>
      <c r="L14" t="s">
        <v>246</v>
      </c>
      <c r="O14" t="s">
        <v>1073</v>
      </c>
      <c r="P14" t="s">
        <v>247</v>
      </c>
      <c r="Q14" t="s">
        <v>248</v>
      </c>
      <c r="V14" t="s">
        <v>249</v>
      </c>
      <c r="W14" t="s">
        <v>250</v>
      </c>
      <c r="X14" t="s">
        <v>251</v>
      </c>
      <c r="Y14" t="s">
        <v>252</v>
      </c>
      <c r="Z14" t="s">
        <v>253</v>
      </c>
      <c r="AA14" t="s">
        <v>254</v>
      </c>
      <c r="AB14" t="s">
        <v>252</v>
      </c>
      <c r="AC14" t="s">
        <v>255</v>
      </c>
      <c r="AD14" t="s">
        <v>256</v>
      </c>
      <c r="AE14" t="s">
        <v>257</v>
      </c>
      <c r="AF14" t="s">
        <v>258</v>
      </c>
      <c r="AG14" t="s">
        <v>259</v>
      </c>
      <c r="AH14" t="s">
        <v>260</v>
      </c>
      <c r="AI14" t="s">
        <v>247</v>
      </c>
      <c r="AJ14" t="str">
        <f t="shared" si="2"/>
        <v>804273051666</v>
      </c>
      <c r="AL14">
        <v>1</v>
      </c>
      <c r="AM14" t="s">
        <v>19</v>
      </c>
      <c r="AN14" t="s">
        <v>261</v>
      </c>
      <c r="AO14" t="s">
        <v>21</v>
      </c>
      <c r="AP14" t="s">
        <v>262</v>
      </c>
      <c r="AQ14" t="s">
        <v>261</v>
      </c>
      <c r="AR14" t="s">
        <v>263</v>
      </c>
      <c r="AS14" t="s">
        <v>24</v>
      </c>
      <c r="AV14">
        <v>46.8</v>
      </c>
      <c r="AW14">
        <v>79.94</v>
      </c>
      <c r="AX14" t="s">
        <v>264</v>
      </c>
    </row>
    <row r="15" spans="1:50">
      <c r="A15" t="s">
        <v>265</v>
      </c>
      <c r="B15" t="s">
        <v>1</v>
      </c>
      <c r="C15" t="str">
        <f t="shared" si="0"/>
        <v>DOES THE COMPANY THAT MAKES PURINA® IMPACT® HAY STRETCHER HORSE FEED 804273051727 HAVE A WEBSITE</v>
      </c>
      <c r="D15" t="s">
        <v>2</v>
      </c>
      <c r="J15" t="s">
        <v>1106</v>
      </c>
      <c r="K15" s="1" t="s">
        <v>3</v>
      </c>
      <c r="O15" t="s">
        <v>1073</v>
      </c>
      <c r="P15" t="s">
        <v>266</v>
      </c>
      <c r="V15" t="s">
        <v>267</v>
      </c>
      <c r="W15" t="s">
        <v>268</v>
      </c>
      <c r="X15" t="s">
        <v>269</v>
      </c>
      <c r="Y15" t="s">
        <v>270</v>
      </c>
      <c r="Z15" t="s">
        <v>271</v>
      </c>
      <c r="AA15" t="s">
        <v>272</v>
      </c>
      <c r="AB15" t="s">
        <v>270</v>
      </c>
      <c r="AC15" t="s">
        <v>273</v>
      </c>
      <c r="AD15" t="s">
        <v>274</v>
      </c>
      <c r="AE15" t="s">
        <v>275</v>
      </c>
      <c r="AF15" t="s">
        <v>276</v>
      </c>
      <c r="AG15" t="s">
        <v>277</v>
      </c>
      <c r="AH15" t="s">
        <v>278</v>
      </c>
      <c r="AI15" t="s">
        <v>266</v>
      </c>
      <c r="AJ15" t="str">
        <f t="shared" si="2"/>
        <v>804273051727</v>
      </c>
      <c r="AL15">
        <v>1</v>
      </c>
      <c r="AM15" t="s">
        <v>19</v>
      </c>
      <c r="AN15" t="s">
        <v>279</v>
      </c>
      <c r="AR15" t="s">
        <v>280</v>
      </c>
      <c r="AV15">
        <v>73</v>
      </c>
      <c r="AW15">
        <v>73</v>
      </c>
      <c r="AX15" t="s">
        <v>281</v>
      </c>
    </row>
    <row r="16" spans="1:50">
      <c r="A16" t="s">
        <v>282</v>
      </c>
      <c r="B16" t="s">
        <v>1</v>
      </c>
      <c r="C16" t="str">
        <f t="shared" si="0"/>
        <v>DOES THE COMPANY THAT MAKES PURINA® IMPACT® PROFESSIONAL PERFORMANCE HORSE FEED 804273057538 HAVE A WEBSITE</v>
      </c>
      <c r="D16" t="s">
        <v>2</v>
      </c>
      <c r="J16" t="s">
        <v>1107</v>
      </c>
      <c r="K16" s="1" t="s">
        <v>3</v>
      </c>
      <c r="O16" t="s">
        <v>1073</v>
      </c>
      <c r="P16" t="s">
        <v>283</v>
      </c>
      <c r="V16" t="s">
        <v>118</v>
      </c>
      <c r="W16" t="s">
        <v>284</v>
      </c>
      <c r="X16" t="s">
        <v>285</v>
      </c>
      <c r="Y16" t="s">
        <v>286</v>
      </c>
      <c r="Z16" t="s">
        <v>287</v>
      </c>
      <c r="AA16" t="s">
        <v>288</v>
      </c>
      <c r="AB16" t="s">
        <v>286</v>
      </c>
      <c r="AC16" t="s">
        <v>289</v>
      </c>
      <c r="AD16" t="s">
        <v>290</v>
      </c>
      <c r="AE16" t="s">
        <v>291</v>
      </c>
      <c r="AF16" t="s">
        <v>292</v>
      </c>
      <c r="AG16" t="s">
        <v>293</v>
      </c>
      <c r="AH16" t="s">
        <v>294</v>
      </c>
      <c r="AI16" t="s">
        <v>283</v>
      </c>
      <c r="AJ16" t="str">
        <f t="shared" si="2"/>
        <v>804273057538</v>
      </c>
      <c r="AL16">
        <v>1</v>
      </c>
      <c r="AM16" t="s">
        <v>19</v>
      </c>
      <c r="AN16" t="s">
        <v>295</v>
      </c>
      <c r="AO16" t="s">
        <v>21</v>
      </c>
      <c r="AP16" t="s">
        <v>296</v>
      </c>
      <c r="AQ16" t="s">
        <v>295</v>
      </c>
      <c r="AR16" t="s">
        <v>297</v>
      </c>
      <c r="AS16" t="s">
        <v>298</v>
      </c>
      <c r="AV16">
        <v>66.13</v>
      </c>
      <c r="AW16">
        <v>68.260000000000005</v>
      </c>
      <c r="AX16" t="s">
        <v>299</v>
      </c>
    </row>
    <row r="17" spans="1:50">
      <c r="A17" t="s">
        <v>300</v>
      </c>
      <c r="B17" t="s">
        <v>1</v>
      </c>
      <c r="C17" t="str">
        <f t="shared" si="0"/>
        <v>DOES THE COMPANY THAT MAKES PURINA® IMPACT PROFESSIONAL SENIOR HORSE FEED 804273051796 HAVE A WEBSITE</v>
      </c>
      <c r="D17" t="s">
        <v>2</v>
      </c>
      <c r="J17" t="s">
        <v>1108</v>
      </c>
      <c r="K17" s="1" t="s">
        <v>3</v>
      </c>
      <c r="L17" t="s">
        <v>301</v>
      </c>
      <c r="O17" t="s">
        <v>1073</v>
      </c>
      <c r="P17" t="s">
        <v>302</v>
      </c>
      <c r="V17" t="s">
        <v>16</v>
      </c>
      <c r="W17" t="s">
        <v>303</v>
      </c>
      <c r="X17" t="s">
        <v>304</v>
      </c>
      <c r="Y17" t="s">
        <v>305</v>
      </c>
      <c r="Z17" t="s">
        <v>306</v>
      </c>
      <c r="AA17" t="s">
        <v>307</v>
      </c>
      <c r="AB17" t="s">
        <v>305</v>
      </c>
      <c r="AC17" t="s">
        <v>308</v>
      </c>
      <c r="AD17" t="s">
        <v>309</v>
      </c>
      <c r="AE17" t="s">
        <v>310</v>
      </c>
      <c r="AF17" t="s">
        <v>311</v>
      </c>
      <c r="AG17" t="s">
        <v>312</v>
      </c>
      <c r="AH17" t="s">
        <v>313</v>
      </c>
      <c r="AI17" t="s">
        <v>302</v>
      </c>
      <c r="AJ17" t="str">
        <f t="shared" si="2"/>
        <v>804273051796</v>
      </c>
      <c r="AL17">
        <v>1</v>
      </c>
      <c r="AM17" t="s">
        <v>19</v>
      </c>
      <c r="AN17" t="s">
        <v>314</v>
      </c>
      <c r="AO17" t="s">
        <v>21</v>
      </c>
      <c r="AP17" t="s">
        <v>315</v>
      </c>
      <c r="AQ17" t="s">
        <v>314</v>
      </c>
      <c r="AR17" t="s">
        <v>263</v>
      </c>
      <c r="AS17" t="s">
        <v>298</v>
      </c>
      <c r="AV17">
        <v>50.36</v>
      </c>
      <c r="AW17">
        <v>328</v>
      </c>
      <c r="AX17" t="s">
        <v>316</v>
      </c>
    </row>
    <row r="18" spans="1:50">
      <c r="A18" t="s">
        <v>317</v>
      </c>
      <c r="B18" t="s">
        <v>1</v>
      </c>
      <c r="C18" t="str">
        <f t="shared" si="0"/>
        <v>DOES THE COMPANY THAT MAKES PURINA® LAYENA® CRUMBLES 804273046174 HAVE A WEBSITE</v>
      </c>
      <c r="D18" t="s">
        <v>2</v>
      </c>
      <c r="J18" t="s">
        <v>1109</v>
      </c>
      <c r="K18" s="1" t="s">
        <v>3</v>
      </c>
      <c r="O18" t="s">
        <v>1073</v>
      </c>
      <c r="P18" t="s">
        <v>318</v>
      </c>
      <c r="R18" t="s">
        <v>47</v>
      </c>
      <c r="V18" t="s">
        <v>319</v>
      </c>
      <c r="W18" t="s">
        <v>320</v>
      </c>
      <c r="X18" t="s">
        <v>321</v>
      </c>
      <c r="Y18" t="s">
        <v>322</v>
      </c>
      <c r="Z18" t="s">
        <v>323</v>
      </c>
      <c r="AA18" t="s">
        <v>324</v>
      </c>
      <c r="AB18" t="s">
        <v>322</v>
      </c>
      <c r="AC18" t="s">
        <v>325</v>
      </c>
      <c r="AD18" t="s">
        <v>326</v>
      </c>
      <c r="AE18" t="s">
        <v>327</v>
      </c>
      <c r="AF18" t="s">
        <v>328</v>
      </c>
      <c r="AG18" t="s">
        <v>329</v>
      </c>
      <c r="AH18" t="s">
        <v>330</v>
      </c>
      <c r="AI18" t="s">
        <v>318</v>
      </c>
      <c r="AJ18" t="str">
        <f t="shared" si="2"/>
        <v>804273046174</v>
      </c>
      <c r="AL18">
        <v>1</v>
      </c>
      <c r="AM18" t="s">
        <v>19</v>
      </c>
      <c r="AN18" t="s">
        <v>331</v>
      </c>
      <c r="AO18" t="s">
        <v>332</v>
      </c>
      <c r="AP18" t="s">
        <v>333</v>
      </c>
      <c r="AQ18" t="s">
        <v>334</v>
      </c>
      <c r="AR18" t="s">
        <v>335</v>
      </c>
      <c r="AS18" t="s">
        <v>24</v>
      </c>
      <c r="AV18">
        <v>46.95</v>
      </c>
      <c r="AW18">
        <v>68.930000000000007</v>
      </c>
      <c r="AX18" t="s">
        <v>336</v>
      </c>
    </row>
    <row r="19" spans="1:50">
      <c r="A19" t="s">
        <v>337</v>
      </c>
      <c r="B19" t="s">
        <v>134</v>
      </c>
      <c r="C19" t="str">
        <f t="shared" si="0"/>
        <v>DOES THE COMPANY THAT MAKES PURINA® LAYENA® + HIGH PROTEIN LAYER FEED 804273089010 HAVE A WEBSITE</v>
      </c>
      <c r="D19" t="s">
        <v>2</v>
      </c>
      <c r="J19" t="s">
        <v>1110</v>
      </c>
      <c r="K19" s="1" t="s">
        <v>3</v>
      </c>
      <c r="O19" t="s">
        <v>1073</v>
      </c>
      <c r="P19" t="s">
        <v>338</v>
      </c>
      <c r="V19" t="s">
        <v>339</v>
      </c>
      <c r="W19" t="s">
        <v>340</v>
      </c>
      <c r="X19" t="s">
        <v>341</v>
      </c>
      <c r="Y19" t="s">
        <v>342</v>
      </c>
      <c r="Z19" t="s">
        <v>343</v>
      </c>
      <c r="AA19" t="s">
        <v>344</v>
      </c>
      <c r="AB19" t="s">
        <v>342</v>
      </c>
      <c r="AC19" t="s">
        <v>345</v>
      </c>
      <c r="AD19" t="s">
        <v>346</v>
      </c>
      <c r="AE19" t="s">
        <v>347</v>
      </c>
      <c r="AF19" t="s">
        <v>348</v>
      </c>
      <c r="AG19" t="s">
        <v>349</v>
      </c>
      <c r="AH19" t="s">
        <v>350</v>
      </c>
      <c r="AI19" t="s">
        <v>338</v>
      </c>
      <c r="AJ19" t="str">
        <f t="shared" si="2"/>
        <v>804273089010</v>
      </c>
      <c r="AL19">
        <v>1</v>
      </c>
      <c r="AM19" t="s">
        <v>19</v>
      </c>
      <c r="AN19" t="s">
        <v>351</v>
      </c>
      <c r="AO19" t="s">
        <v>21</v>
      </c>
      <c r="AQ19" t="s">
        <v>352</v>
      </c>
      <c r="AS19" t="s">
        <v>112</v>
      </c>
      <c r="AV19">
        <v>57.99</v>
      </c>
      <c r="AW19">
        <v>57.99</v>
      </c>
      <c r="AX19" t="s">
        <v>353</v>
      </c>
    </row>
    <row r="20" spans="1:50">
      <c r="A20" t="s">
        <v>354</v>
      </c>
      <c r="B20" t="s">
        <v>1</v>
      </c>
      <c r="C20" t="str">
        <f t="shared" si="0"/>
        <v>DOES THE COMPANY THAT MAKES PURINA® LAYENA® + OMEGA-3 804273043791 HAVE A WEBSITE</v>
      </c>
      <c r="D20" t="s">
        <v>2</v>
      </c>
      <c r="J20" t="s">
        <v>1111</v>
      </c>
      <c r="K20" s="1" t="s">
        <v>3</v>
      </c>
      <c r="O20" t="s">
        <v>1074</v>
      </c>
      <c r="P20" t="s">
        <v>355</v>
      </c>
      <c r="V20" t="s">
        <v>136</v>
      </c>
      <c r="W20" t="s">
        <v>356</v>
      </c>
      <c r="X20" t="s">
        <v>357</v>
      </c>
      <c r="Y20" t="s">
        <v>358</v>
      </c>
      <c r="Z20" t="s">
        <v>359</v>
      </c>
      <c r="AA20" t="s">
        <v>360</v>
      </c>
      <c r="AB20" t="s">
        <v>358</v>
      </c>
      <c r="AC20" t="s">
        <v>361</v>
      </c>
      <c r="AD20" t="s">
        <v>362</v>
      </c>
      <c r="AE20" t="s">
        <v>363</v>
      </c>
      <c r="AF20" t="s">
        <v>348</v>
      </c>
      <c r="AG20" t="s">
        <v>364</v>
      </c>
      <c r="AH20" t="s">
        <v>365</v>
      </c>
      <c r="AI20" t="s">
        <v>355</v>
      </c>
      <c r="AJ20" t="str">
        <f t="shared" si="2"/>
        <v>804273043791</v>
      </c>
      <c r="AL20">
        <v>1</v>
      </c>
      <c r="AM20" t="s">
        <v>19</v>
      </c>
      <c r="AN20" t="s">
        <v>366</v>
      </c>
      <c r="AO20" t="s">
        <v>21</v>
      </c>
      <c r="AP20" t="s">
        <v>367</v>
      </c>
      <c r="AQ20" t="s">
        <v>368</v>
      </c>
      <c r="AV20">
        <v>49.45</v>
      </c>
      <c r="AW20">
        <v>92.25</v>
      </c>
      <c r="AX20" t="s">
        <v>369</v>
      </c>
    </row>
    <row r="21" spans="1:50">
      <c r="A21" t="s">
        <v>370</v>
      </c>
      <c r="B21" t="s">
        <v>1</v>
      </c>
      <c r="C21" t="str">
        <f t="shared" si="0"/>
        <v>DOES THE COMPANY THAT MAKES PURINA® LAYENA® PELLETS 804273042350 HAVE A WEBSITE</v>
      </c>
      <c r="D21" t="s">
        <v>2</v>
      </c>
      <c r="J21" t="s">
        <v>1112</v>
      </c>
      <c r="K21" s="1" t="s">
        <v>3</v>
      </c>
      <c r="O21" t="s">
        <v>1073</v>
      </c>
      <c r="P21" t="s">
        <v>371</v>
      </c>
      <c r="Q21" t="s">
        <v>372</v>
      </c>
      <c r="R21" t="s">
        <v>47</v>
      </c>
      <c r="V21" t="s">
        <v>249</v>
      </c>
      <c r="W21" t="s">
        <v>373</v>
      </c>
      <c r="X21" t="s">
        <v>374</v>
      </c>
      <c r="Y21" t="s">
        <v>375</v>
      </c>
      <c r="Z21" t="s">
        <v>376</v>
      </c>
      <c r="AA21" t="s">
        <v>377</v>
      </c>
      <c r="AB21" t="s">
        <v>375</v>
      </c>
      <c r="AC21" t="s">
        <v>378</v>
      </c>
      <c r="AD21" t="s">
        <v>379</v>
      </c>
      <c r="AE21" t="s">
        <v>380</v>
      </c>
      <c r="AF21" t="s">
        <v>145</v>
      </c>
      <c r="AG21" t="s">
        <v>381</v>
      </c>
      <c r="AH21" t="s">
        <v>382</v>
      </c>
      <c r="AI21" t="s">
        <v>371</v>
      </c>
      <c r="AJ21" t="str">
        <f t="shared" si="2"/>
        <v>804273042350</v>
      </c>
      <c r="AL21">
        <v>0</v>
      </c>
      <c r="AM21" t="s">
        <v>79</v>
      </c>
    </row>
    <row r="22" spans="1:50">
      <c r="A22" t="s">
        <v>383</v>
      </c>
      <c r="B22" t="s">
        <v>1</v>
      </c>
      <c r="C22" t="str">
        <f t="shared" si="0"/>
        <v>DOES THE COMPANY THAT MAKES PURINA® OMEGA MATCH® RATION BALANCING HORSE FEED 804273081687 HAVE A WEBSITE</v>
      </c>
      <c r="D22" t="s">
        <v>2</v>
      </c>
      <c r="J22" t="s">
        <v>1113</v>
      </c>
      <c r="K22" s="1" t="s">
        <v>3</v>
      </c>
      <c r="O22" t="s">
        <v>1075</v>
      </c>
      <c r="P22" t="s">
        <v>384</v>
      </c>
      <c r="V22" t="s">
        <v>267</v>
      </c>
      <c r="W22" t="s">
        <v>385</v>
      </c>
      <c r="X22" t="s">
        <v>386</v>
      </c>
      <c r="Y22" t="s">
        <v>387</v>
      </c>
      <c r="Z22" t="s">
        <v>388</v>
      </c>
      <c r="AA22" t="s">
        <v>389</v>
      </c>
      <c r="AB22" t="s">
        <v>387</v>
      </c>
      <c r="AC22" t="s">
        <v>390</v>
      </c>
      <c r="AD22" t="s">
        <v>391</v>
      </c>
      <c r="AE22" t="s">
        <v>392</v>
      </c>
      <c r="AF22" t="s">
        <v>393</v>
      </c>
      <c r="AG22" t="s">
        <v>394</v>
      </c>
      <c r="AH22" t="s">
        <v>395</v>
      </c>
      <c r="AI22" t="s">
        <v>384</v>
      </c>
      <c r="AJ22" t="str">
        <f t="shared" si="2"/>
        <v>804273081687</v>
      </c>
      <c r="AL22">
        <v>1</v>
      </c>
      <c r="AM22" t="s">
        <v>19</v>
      </c>
      <c r="AN22" t="s">
        <v>396</v>
      </c>
      <c r="AO22" t="s">
        <v>21</v>
      </c>
      <c r="AP22" t="s">
        <v>397</v>
      </c>
      <c r="AQ22" t="s">
        <v>396</v>
      </c>
      <c r="AR22" t="s">
        <v>131</v>
      </c>
      <c r="AS22" t="s">
        <v>398</v>
      </c>
      <c r="AV22">
        <v>77.930000000000007</v>
      </c>
      <c r="AW22">
        <v>100.88</v>
      </c>
      <c r="AX22" t="s">
        <v>399</v>
      </c>
    </row>
    <row r="23" spans="1:50">
      <c r="A23" t="s">
        <v>400</v>
      </c>
      <c r="B23" t="s">
        <v>65</v>
      </c>
      <c r="C23" t="str">
        <f t="shared" si="0"/>
        <v>DOES THE COMPANY THAT MAKES PURINA® OMEGA MATCH® AHIFLOWER® OIL SUPPLEMENT 804273081694 HAVE A WEBSITE</v>
      </c>
      <c r="D23" t="s">
        <v>2</v>
      </c>
      <c r="E23" t="s">
        <v>400</v>
      </c>
      <c r="F23" t="s">
        <v>1037</v>
      </c>
      <c r="J23" t="s">
        <v>1114</v>
      </c>
      <c r="K23" s="1" t="s">
        <v>3</v>
      </c>
      <c r="L23" t="s">
        <v>401</v>
      </c>
      <c r="O23" t="s">
        <v>1083</v>
      </c>
      <c r="P23" t="s">
        <v>402</v>
      </c>
      <c r="V23" t="s">
        <v>28</v>
      </c>
      <c r="W23" t="s">
        <v>403</v>
      </c>
      <c r="X23" t="s">
        <v>404</v>
      </c>
      <c r="Y23" t="s">
        <v>213</v>
      </c>
      <c r="Z23" t="s">
        <v>405</v>
      </c>
      <c r="AA23" t="s">
        <v>406</v>
      </c>
      <c r="AB23" t="s">
        <v>213</v>
      </c>
      <c r="AC23" t="s">
        <v>407</v>
      </c>
      <c r="AD23" t="s">
        <v>408</v>
      </c>
      <c r="AE23" t="s">
        <v>409</v>
      </c>
      <c r="AF23" t="s">
        <v>410</v>
      </c>
      <c r="AG23" t="s">
        <v>411</v>
      </c>
      <c r="AH23" t="s">
        <v>412</v>
      </c>
      <c r="AI23" t="s">
        <v>402</v>
      </c>
      <c r="AJ23" t="str">
        <f t="shared" si="2"/>
        <v>804273081694</v>
      </c>
      <c r="AL23">
        <v>1</v>
      </c>
      <c r="AM23" t="s">
        <v>19</v>
      </c>
      <c r="AN23" t="s">
        <v>413</v>
      </c>
      <c r="AO23" t="s">
        <v>21</v>
      </c>
      <c r="AP23" t="s">
        <v>414</v>
      </c>
      <c r="AQ23" t="s">
        <v>415</v>
      </c>
      <c r="AR23" t="s">
        <v>189</v>
      </c>
      <c r="AS23" t="s">
        <v>416</v>
      </c>
      <c r="AV23">
        <v>138.49</v>
      </c>
      <c r="AW23">
        <v>161.12</v>
      </c>
      <c r="AX23" t="s">
        <v>417</v>
      </c>
    </row>
    <row r="24" spans="1:50">
      <c r="A24" t="s">
        <v>418</v>
      </c>
      <c r="B24" t="s">
        <v>1</v>
      </c>
      <c r="C24" t="str">
        <f t="shared" si="0"/>
        <v>DOES THE COMPANY THAT MAKES PURINA® OMEGA MATCH® AHIFLOWER® OIL SUPPLEMENT 804273081700 HAVE A WEBSITE</v>
      </c>
      <c r="D24" t="s">
        <v>2</v>
      </c>
      <c r="E24" t="s">
        <v>400</v>
      </c>
      <c r="F24" t="s">
        <v>1037</v>
      </c>
      <c r="J24" t="s">
        <v>1114</v>
      </c>
      <c r="K24" s="1" t="s">
        <v>3</v>
      </c>
      <c r="O24" t="s">
        <v>1084</v>
      </c>
      <c r="P24" t="s">
        <v>419</v>
      </c>
      <c r="V24" t="s">
        <v>420</v>
      </c>
      <c r="W24" t="s">
        <v>420</v>
      </c>
      <c r="X24" t="s">
        <v>420</v>
      </c>
      <c r="Y24" t="s">
        <v>421</v>
      </c>
      <c r="Z24" t="s">
        <v>422</v>
      </c>
      <c r="AA24" t="s">
        <v>423</v>
      </c>
      <c r="AB24" t="s">
        <v>421</v>
      </c>
      <c r="AC24" t="s">
        <v>424</v>
      </c>
      <c r="AD24" t="s">
        <v>425</v>
      </c>
      <c r="AE24" t="s">
        <v>426</v>
      </c>
      <c r="AF24" t="s">
        <v>427</v>
      </c>
      <c r="AG24" t="s">
        <v>428</v>
      </c>
      <c r="AH24" t="s">
        <v>429</v>
      </c>
      <c r="AI24" t="s">
        <v>419</v>
      </c>
      <c r="AJ24" t="str">
        <f t="shared" si="2"/>
        <v>804273081700</v>
      </c>
      <c r="AL24">
        <v>1</v>
      </c>
      <c r="AM24" t="s">
        <v>19</v>
      </c>
      <c r="AN24" t="s">
        <v>430</v>
      </c>
      <c r="AO24" t="s">
        <v>21</v>
      </c>
      <c r="AP24" t="s">
        <v>431</v>
      </c>
      <c r="AQ24" t="s">
        <v>432</v>
      </c>
      <c r="AS24" t="s">
        <v>433</v>
      </c>
      <c r="AV24">
        <v>42.49</v>
      </c>
      <c r="AW24">
        <v>54.82</v>
      </c>
      <c r="AX24" t="s">
        <v>434</v>
      </c>
    </row>
    <row r="25" spans="1:50">
      <c r="A25" t="s">
        <v>435</v>
      </c>
      <c r="B25" t="s">
        <v>1</v>
      </c>
      <c r="C25" t="str">
        <f t="shared" si="0"/>
        <v>DOES THE COMPANY THAT MAKES PURINA® OMOLENE® #100 ACTIVE PLEASURE HORSE FEED 804273061085 HAVE A WEBSITE</v>
      </c>
      <c r="D25" t="s">
        <v>2</v>
      </c>
      <c r="J25" t="s">
        <v>1115</v>
      </c>
      <c r="K25" s="1" t="s">
        <v>3</v>
      </c>
      <c r="O25" t="s">
        <v>1073</v>
      </c>
      <c r="P25" t="s">
        <v>436</v>
      </c>
      <c r="Q25" t="s">
        <v>437</v>
      </c>
      <c r="R25" t="s">
        <v>47</v>
      </c>
      <c r="U25" t="s">
        <v>6</v>
      </c>
      <c r="V25" t="s">
        <v>438</v>
      </c>
      <c r="W25" t="s">
        <v>439</v>
      </c>
      <c r="X25" t="s">
        <v>440</v>
      </c>
      <c r="Y25" t="s">
        <v>441</v>
      </c>
      <c r="Z25" t="s">
        <v>442</v>
      </c>
      <c r="AA25" t="s">
        <v>443</v>
      </c>
      <c r="AB25" t="s">
        <v>441</v>
      </c>
      <c r="AC25" t="s">
        <v>444</v>
      </c>
      <c r="AD25" t="s">
        <v>445</v>
      </c>
      <c r="AE25" t="s">
        <v>446</v>
      </c>
      <c r="AF25" t="s">
        <v>292</v>
      </c>
      <c r="AG25" t="s">
        <v>447</v>
      </c>
      <c r="AH25" t="s">
        <v>448</v>
      </c>
      <c r="AI25" t="s">
        <v>436</v>
      </c>
      <c r="AJ25" t="str">
        <f t="shared" si="2"/>
        <v>804273061085</v>
      </c>
      <c r="AL25">
        <v>0</v>
      </c>
      <c r="AM25" t="s">
        <v>79</v>
      </c>
    </row>
    <row r="26" spans="1:50">
      <c r="A26" t="s">
        <v>449</v>
      </c>
      <c r="B26" t="s">
        <v>1</v>
      </c>
      <c r="C26" t="str">
        <f t="shared" si="0"/>
        <v>DOES THE COMPANY THAT MAKES PURINA® OMOLENE® #200 PERFORMANCE HORSE FEED 804273061092 HAVE A WEBSITE</v>
      </c>
      <c r="D26" t="s">
        <v>2</v>
      </c>
      <c r="J26" t="s">
        <v>1116</v>
      </c>
      <c r="K26" s="1" t="s">
        <v>3</v>
      </c>
      <c r="O26" t="s">
        <v>1073</v>
      </c>
      <c r="P26" t="s">
        <v>450</v>
      </c>
      <c r="Q26" t="s">
        <v>451</v>
      </c>
      <c r="R26" t="s">
        <v>47</v>
      </c>
      <c r="T26" t="s">
        <v>452</v>
      </c>
      <c r="U26" t="s">
        <v>6</v>
      </c>
      <c r="V26" t="s">
        <v>98</v>
      </c>
      <c r="W26" t="s">
        <v>453</v>
      </c>
      <c r="X26" t="s">
        <v>454</v>
      </c>
      <c r="Y26" t="s">
        <v>455</v>
      </c>
      <c r="Z26" t="s">
        <v>456</v>
      </c>
      <c r="AA26" t="s">
        <v>457</v>
      </c>
      <c r="AB26" t="s">
        <v>455</v>
      </c>
      <c r="AC26" t="s">
        <v>458</v>
      </c>
      <c r="AD26" t="s">
        <v>459</v>
      </c>
      <c r="AE26" t="s">
        <v>460</v>
      </c>
      <c r="AF26" t="s">
        <v>292</v>
      </c>
      <c r="AG26" t="s">
        <v>461</v>
      </c>
      <c r="AH26" t="s">
        <v>462</v>
      </c>
      <c r="AI26" t="s">
        <v>450</v>
      </c>
      <c r="AJ26" t="str">
        <f t="shared" si="2"/>
        <v>804273061092</v>
      </c>
      <c r="AL26">
        <v>0</v>
      </c>
      <c r="AM26" t="s">
        <v>79</v>
      </c>
    </row>
    <row r="27" spans="1:50">
      <c r="A27" t="s">
        <v>463</v>
      </c>
      <c r="B27" t="s">
        <v>1</v>
      </c>
      <c r="C27" t="str">
        <f t="shared" si="0"/>
        <v>DOES THE COMPANY THAT MAKES PURINA® OMOLENE® #400 COMPLETE ADVANTAGE HORSE FEED 804273031583 HAVE A WEBSITE</v>
      </c>
      <c r="D27" t="s">
        <v>2</v>
      </c>
      <c r="J27" t="s">
        <v>1117</v>
      </c>
      <c r="K27" s="1" t="s">
        <v>3</v>
      </c>
      <c r="O27" t="s">
        <v>1073</v>
      </c>
      <c r="P27" t="s">
        <v>464</v>
      </c>
      <c r="Q27" t="s">
        <v>465</v>
      </c>
      <c r="R27" t="s">
        <v>47</v>
      </c>
      <c r="U27" t="s">
        <v>6</v>
      </c>
      <c r="V27" t="s">
        <v>319</v>
      </c>
      <c r="W27" t="s">
        <v>466</v>
      </c>
      <c r="X27" t="s">
        <v>467</v>
      </c>
      <c r="Y27" t="s">
        <v>468</v>
      </c>
      <c r="Z27" t="s">
        <v>469</v>
      </c>
      <c r="AA27" t="s">
        <v>470</v>
      </c>
      <c r="AB27" t="s">
        <v>468</v>
      </c>
      <c r="AC27" t="s">
        <v>471</v>
      </c>
      <c r="AD27" t="s">
        <v>472</v>
      </c>
      <c r="AE27" t="s">
        <v>473</v>
      </c>
      <c r="AF27" t="s">
        <v>474</v>
      </c>
      <c r="AG27" t="s">
        <v>475</v>
      </c>
      <c r="AH27" t="s">
        <v>476</v>
      </c>
      <c r="AI27" t="s">
        <v>464</v>
      </c>
      <c r="AJ27" t="str">
        <f t="shared" si="2"/>
        <v>804273031583</v>
      </c>
      <c r="AL27">
        <v>1</v>
      </c>
      <c r="AM27" t="s">
        <v>19</v>
      </c>
      <c r="AN27" t="s">
        <v>477</v>
      </c>
      <c r="AO27" t="s">
        <v>478</v>
      </c>
      <c r="AP27" t="s">
        <v>479</v>
      </c>
      <c r="AQ27" t="s">
        <v>480</v>
      </c>
      <c r="AR27" t="s">
        <v>131</v>
      </c>
      <c r="AV27">
        <v>29.22</v>
      </c>
      <c r="AW27">
        <v>29.22</v>
      </c>
      <c r="AX27" t="s">
        <v>481</v>
      </c>
    </row>
    <row r="28" spans="1:50">
      <c r="A28" t="s">
        <v>482</v>
      </c>
      <c r="B28" t="s">
        <v>1</v>
      </c>
      <c r="C28" t="str">
        <f t="shared" si="0"/>
        <v>DOES THE COMPANY THAT MAKES PURINA® OUTLAST® GASTRIC SUPPORT HORSE SUPPLEMENT 804273051642 HAVE A WEBSITE</v>
      </c>
      <c r="D28" t="s">
        <v>2</v>
      </c>
      <c r="J28" t="s">
        <v>1118</v>
      </c>
      <c r="K28" s="1" t="s">
        <v>3</v>
      </c>
      <c r="O28" t="s">
        <v>1074</v>
      </c>
      <c r="P28" t="s">
        <v>483</v>
      </c>
      <c r="V28" t="s">
        <v>484</v>
      </c>
      <c r="W28" t="s">
        <v>485</v>
      </c>
      <c r="X28" t="s">
        <v>486</v>
      </c>
      <c r="Y28" t="s">
        <v>487</v>
      </c>
      <c r="Z28" t="s">
        <v>488</v>
      </c>
      <c r="AA28" t="s">
        <v>489</v>
      </c>
      <c r="AB28" t="s">
        <v>487</v>
      </c>
      <c r="AC28" t="s">
        <v>490</v>
      </c>
      <c r="AD28" t="s">
        <v>491</v>
      </c>
      <c r="AE28" t="s">
        <v>492</v>
      </c>
      <c r="AF28" t="s">
        <v>493</v>
      </c>
      <c r="AG28" t="s">
        <v>494</v>
      </c>
      <c r="AH28" t="s">
        <v>495</v>
      </c>
      <c r="AI28" t="s">
        <v>483</v>
      </c>
      <c r="AJ28" t="str">
        <f t="shared" si="2"/>
        <v>804273051642</v>
      </c>
      <c r="AL28">
        <v>1</v>
      </c>
      <c r="AM28" t="s">
        <v>19</v>
      </c>
      <c r="AN28" t="s">
        <v>496</v>
      </c>
      <c r="AO28" t="s">
        <v>21</v>
      </c>
      <c r="AP28" t="s">
        <v>497</v>
      </c>
      <c r="AQ28" t="s">
        <v>496</v>
      </c>
      <c r="AR28" t="s">
        <v>297</v>
      </c>
      <c r="AV28">
        <v>62.9</v>
      </c>
      <c r="AW28">
        <v>126</v>
      </c>
      <c r="AX28" t="s">
        <v>498</v>
      </c>
    </row>
    <row r="29" spans="1:50">
      <c r="A29" t="s">
        <v>499</v>
      </c>
      <c r="B29" t="s">
        <v>1</v>
      </c>
      <c r="C29" t="str">
        <f t="shared" si="0"/>
        <v>DOES THE COMPANY THAT MAKES PURINA® PREMIUM DEER BLOCK 804273019949 HAVE A WEBSITE</v>
      </c>
      <c r="D29" t="s">
        <v>2</v>
      </c>
      <c r="J29" t="s">
        <v>1119</v>
      </c>
      <c r="K29" s="1" t="s">
        <v>3</v>
      </c>
      <c r="O29" t="s">
        <v>1076</v>
      </c>
      <c r="P29" t="s">
        <v>500</v>
      </c>
      <c r="Q29" t="s">
        <v>501</v>
      </c>
      <c r="R29" t="s">
        <v>47</v>
      </c>
      <c r="V29" t="s">
        <v>502</v>
      </c>
      <c r="W29" t="s">
        <v>503</v>
      </c>
      <c r="X29" t="s">
        <v>504</v>
      </c>
      <c r="Y29" t="s">
        <v>183</v>
      </c>
      <c r="Z29" t="s">
        <v>505</v>
      </c>
      <c r="AA29" t="s">
        <v>506</v>
      </c>
      <c r="AB29" t="s">
        <v>183</v>
      </c>
      <c r="AC29" t="s">
        <v>507</v>
      </c>
      <c r="AD29" t="s">
        <v>508</v>
      </c>
      <c r="AE29" t="s">
        <v>509</v>
      </c>
      <c r="AF29" t="s">
        <v>510</v>
      </c>
      <c r="AG29" t="s">
        <v>511</v>
      </c>
      <c r="AH29" t="s">
        <v>512</v>
      </c>
      <c r="AI29" t="s">
        <v>500</v>
      </c>
      <c r="AJ29" t="str">
        <f t="shared" si="2"/>
        <v>804273019949</v>
      </c>
      <c r="AL29">
        <v>1</v>
      </c>
      <c r="AM29" t="s">
        <v>19</v>
      </c>
      <c r="AN29" t="s">
        <v>513</v>
      </c>
      <c r="AO29" t="s">
        <v>514</v>
      </c>
      <c r="AR29" t="s">
        <v>515</v>
      </c>
      <c r="AV29">
        <v>90</v>
      </c>
      <c r="AW29">
        <v>90</v>
      </c>
      <c r="AX29" t="s">
        <v>281</v>
      </c>
    </row>
    <row r="30" spans="1:50">
      <c r="A30" t="s">
        <v>7</v>
      </c>
      <c r="B30" t="s">
        <v>1</v>
      </c>
      <c r="C30" t="str">
        <f t="shared" si="0"/>
        <v>DOES THE COMPANY THAT MAKES PURINA® APPLE &amp; OAT-FLAVORED HORSE TREATS 804273045702 HAVE A WEBSITE</v>
      </c>
      <c r="D30" t="s">
        <v>2</v>
      </c>
      <c r="E30" t="s">
        <v>7</v>
      </c>
      <c r="F30" t="s">
        <v>1037</v>
      </c>
      <c r="J30" t="s">
        <v>1120</v>
      </c>
      <c r="K30" s="1" t="s">
        <v>3</v>
      </c>
      <c r="O30" t="s">
        <v>1077</v>
      </c>
      <c r="P30" t="s">
        <v>516</v>
      </c>
      <c r="R30" t="s">
        <v>47</v>
      </c>
      <c r="V30" t="s">
        <v>484</v>
      </c>
      <c r="W30" t="s">
        <v>517</v>
      </c>
      <c r="X30" t="s">
        <v>518</v>
      </c>
      <c r="Y30" t="s">
        <v>438</v>
      </c>
      <c r="Z30" t="s">
        <v>519</v>
      </c>
      <c r="AA30" t="s">
        <v>520</v>
      </c>
      <c r="AB30" t="s">
        <v>438</v>
      </c>
      <c r="AC30" t="s">
        <v>521</v>
      </c>
      <c r="AD30" t="s">
        <v>522</v>
      </c>
      <c r="AE30" t="s">
        <v>523</v>
      </c>
      <c r="AF30" t="s">
        <v>524</v>
      </c>
      <c r="AG30" t="s">
        <v>525</v>
      </c>
      <c r="AH30" t="s">
        <v>526</v>
      </c>
      <c r="AI30" t="s">
        <v>516</v>
      </c>
      <c r="AJ30" t="str">
        <f t="shared" si="2"/>
        <v>804273045702</v>
      </c>
      <c r="AL30">
        <v>1</v>
      </c>
      <c r="AM30" t="s">
        <v>19</v>
      </c>
      <c r="AN30" t="s">
        <v>527</v>
      </c>
      <c r="AO30" t="s">
        <v>21</v>
      </c>
      <c r="AP30" t="s">
        <v>528</v>
      </c>
      <c r="AQ30" t="s">
        <v>527</v>
      </c>
      <c r="AR30" t="s">
        <v>529</v>
      </c>
      <c r="AV30">
        <v>28.53</v>
      </c>
      <c r="AW30">
        <v>46.21</v>
      </c>
      <c r="AX30" t="s">
        <v>530</v>
      </c>
    </row>
    <row r="31" spans="1:50">
      <c r="A31" t="s">
        <v>531</v>
      </c>
      <c r="B31" t="s">
        <v>1</v>
      </c>
      <c r="C31" t="str">
        <f t="shared" si="0"/>
        <v>DOES THE COMPANY THAT MAKES PURINA® APPLE &amp; OAT-FLAVORED HORSE TREATS 804273045733 HAVE A WEBSITE</v>
      </c>
      <c r="D31" t="s">
        <v>2</v>
      </c>
      <c r="E31" t="s">
        <v>7</v>
      </c>
      <c r="F31" t="s">
        <v>1037</v>
      </c>
      <c r="J31" t="s">
        <v>1120</v>
      </c>
      <c r="K31" s="1" t="s">
        <v>3</v>
      </c>
      <c r="O31" t="s">
        <v>1078</v>
      </c>
      <c r="P31" t="s">
        <v>532</v>
      </c>
      <c r="V31" t="s">
        <v>276</v>
      </c>
      <c r="W31" t="s">
        <v>533</v>
      </c>
      <c r="X31" t="s">
        <v>534</v>
      </c>
      <c r="Y31" t="s">
        <v>535</v>
      </c>
      <c r="Z31" t="s">
        <v>536</v>
      </c>
      <c r="AA31" t="s">
        <v>537</v>
      </c>
      <c r="AB31" t="s">
        <v>535</v>
      </c>
      <c r="AC31" t="s">
        <v>538</v>
      </c>
      <c r="AD31" t="s">
        <v>539</v>
      </c>
      <c r="AE31" t="s">
        <v>540</v>
      </c>
      <c r="AF31" t="s">
        <v>541</v>
      </c>
      <c r="AG31" t="s">
        <v>542</v>
      </c>
      <c r="AH31" t="s">
        <v>543</v>
      </c>
      <c r="AI31" t="s">
        <v>532</v>
      </c>
      <c r="AJ31" t="str">
        <f t="shared" si="2"/>
        <v>804273045733</v>
      </c>
      <c r="AL31">
        <v>1</v>
      </c>
      <c r="AM31" t="s">
        <v>19</v>
      </c>
      <c r="AN31" t="s">
        <v>544</v>
      </c>
      <c r="AO31" t="s">
        <v>21</v>
      </c>
      <c r="AP31" t="s">
        <v>545</v>
      </c>
      <c r="AQ31" t="s">
        <v>546</v>
      </c>
      <c r="AR31" t="s">
        <v>547</v>
      </c>
      <c r="AT31" t="s">
        <v>548</v>
      </c>
      <c r="AV31">
        <v>4.99</v>
      </c>
      <c r="AW31">
        <v>30.6</v>
      </c>
      <c r="AX31" t="s">
        <v>549</v>
      </c>
    </row>
    <row r="32" spans="1:50">
      <c r="A32" t="s">
        <v>550</v>
      </c>
      <c r="B32" t="s">
        <v>1</v>
      </c>
      <c r="C32" t="str">
        <f t="shared" si="0"/>
        <v>DOES THE COMPANY THAT MAKES PURINA® FLOCK BLOCK® 804273018935 HAVE A WEBSITE</v>
      </c>
      <c r="D32" t="s">
        <v>2</v>
      </c>
      <c r="J32" t="s">
        <v>1121</v>
      </c>
      <c r="K32" s="1" t="s">
        <v>3</v>
      </c>
      <c r="O32" t="s">
        <v>1079</v>
      </c>
      <c r="P32" t="s">
        <v>551</v>
      </c>
      <c r="Q32" t="s">
        <v>552</v>
      </c>
      <c r="R32" t="s">
        <v>47</v>
      </c>
      <c r="V32" t="s">
        <v>484</v>
      </c>
      <c r="W32" t="s">
        <v>553</v>
      </c>
      <c r="X32" t="s">
        <v>554</v>
      </c>
      <c r="Y32" t="s">
        <v>555</v>
      </c>
      <c r="Z32" t="s">
        <v>556</v>
      </c>
      <c r="AA32" t="s">
        <v>557</v>
      </c>
      <c r="AB32" t="s">
        <v>555</v>
      </c>
      <c r="AC32" t="s">
        <v>558</v>
      </c>
      <c r="AD32" t="s">
        <v>559</v>
      </c>
      <c r="AE32" t="s">
        <v>560</v>
      </c>
      <c r="AF32" t="s">
        <v>76</v>
      </c>
      <c r="AG32" t="s">
        <v>561</v>
      </c>
      <c r="AH32" t="s">
        <v>562</v>
      </c>
      <c r="AI32" t="s">
        <v>551</v>
      </c>
      <c r="AJ32" t="str">
        <f t="shared" si="2"/>
        <v>804273018935</v>
      </c>
      <c r="AL32">
        <v>1</v>
      </c>
      <c r="AM32" t="s">
        <v>19</v>
      </c>
      <c r="AN32" t="s">
        <v>563</v>
      </c>
      <c r="AO32" t="s">
        <v>21</v>
      </c>
      <c r="AP32" t="s">
        <v>564</v>
      </c>
      <c r="AQ32" t="s">
        <v>565</v>
      </c>
      <c r="AR32" t="s">
        <v>566</v>
      </c>
      <c r="AS32" t="s">
        <v>567</v>
      </c>
      <c r="AT32" t="s">
        <v>568</v>
      </c>
      <c r="AV32">
        <v>12.99</v>
      </c>
      <c r="AW32">
        <v>60.11</v>
      </c>
      <c r="AX32" t="s">
        <v>569</v>
      </c>
    </row>
    <row r="33" spans="1:50">
      <c r="A33" t="s">
        <v>570</v>
      </c>
      <c r="B33" t="s">
        <v>1</v>
      </c>
      <c r="C33" t="str">
        <f t="shared" si="0"/>
        <v>DOES THE COMPANY THAT MAKES PURINA® GOAT BLOCK 883576009277 HAVE A WEBSITE</v>
      </c>
      <c r="D33" t="s">
        <v>2</v>
      </c>
      <c r="J33" t="s">
        <v>1122</v>
      </c>
      <c r="K33" s="1" t="s">
        <v>3</v>
      </c>
      <c r="O33" t="s">
        <v>1085</v>
      </c>
      <c r="P33" t="s">
        <v>571</v>
      </c>
      <c r="R33" t="s">
        <v>47</v>
      </c>
      <c r="V33" t="s">
        <v>572</v>
      </c>
      <c r="W33" t="s">
        <v>573</v>
      </c>
      <c r="X33" t="s">
        <v>574</v>
      </c>
      <c r="Y33" t="s">
        <v>575</v>
      </c>
      <c r="Z33" t="s">
        <v>576</v>
      </c>
      <c r="AA33" t="s">
        <v>577</v>
      </c>
      <c r="AB33" t="s">
        <v>575</v>
      </c>
      <c r="AC33" t="s">
        <v>578</v>
      </c>
      <c r="AD33" t="s">
        <v>579</v>
      </c>
      <c r="AE33" t="s">
        <v>580</v>
      </c>
      <c r="AF33" t="s">
        <v>581</v>
      </c>
      <c r="AG33" t="s">
        <v>582</v>
      </c>
      <c r="AH33" t="s">
        <v>583</v>
      </c>
      <c r="AI33" t="s">
        <v>571</v>
      </c>
      <c r="AJ33" t="str">
        <f t="shared" si="2"/>
        <v>883576009277</v>
      </c>
      <c r="AL33">
        <v>1</v>
      </c>
      <c r="AM33" t="s">
        <v>19</v>
      </c>
      <c r="AN33" t="s">
        <v>584</v>
      </c>
      <c r="AO33" t="s">
        <v>21</v>
      </c>
      <c r="AP33" t="s">
        <v>585</v>
      </c>
      <c r="AQ33" t="s">
        <v>584</v>
      </c>
      <c r="AR33" t="s">
        <v>280</v>
      </c>
      <c r="AV33">
        <v>56</v>
      </c>
      <c r="AW33">
        <v>62.89</v>
      </c>
      <c r="AX33" t="s">
        <v>586</v>
      </c>
    </row>
    <row r="34" spans="1:50">
      <c r="A34" t="s">
        <v>587</v>
      </c>
      <c r="B34" t="s">
        <v>1</v>
      </c>
      <c r="C34" t="str">
        <f t="shared" ref="C34:C62" si="3">CONCATENATE("DOES THE COMPANY THAT MAKES ",J34," ",AI34," HAVE A WEBSITE")</f>
        <v>DOES THE COMPANY THAT MAKES PURINA® GOAT CHOW® PLUS UP GOAT FEED 804273054155 HAVE A WEBSITE</v>
      </c>
      <c r="D34" t="s">
        <v>2</v>
      </c>
      <c r="J34" t="s">
        <v>1123</v>
      </c>
      <c r="K34" s="1" t="s">
        <v>3</v>
      </c>
      <c r="O34" t="s">
        <v>1073</v>
      </c>
      <c r="P34" t="s">
        <v>588</v>
      </c>
      <c r="Q34" t="s">
        <v>589</v>
      </c>
      <c r="R34" t="s">
        <v>47</v>
      </c>
      <c r="V34" t="s">
        <v>198</v>
      </c>
      <c r="W34" t="s">
        <v>590</v>
      </c>
      <c r="X34" t="s">
        <v>591</v>
      </c>
      <c r="Y34" t="s">
        <v>592</v>
      </c>
      <c r="Z34" t="s">
        <v>593</v>
      </c>
      <c r="AA34" t="s">
        <v>594</v>
      </c>
      <c r="AB34" t="s">
        <v>592</v>
      </c>
      <c r="AC34" t="s">
        <v>595</v>
      </c>
      <c r="AD34" t="s">
        <v>596</v>
      </c>
      <c r="AE34" t="s">
        <v>597</v>
      </c>
      <c r="AF34" t="s">
        <v>598</v>
      </c>
      <c r="AG34" t="s">
        <v>599</v>
      </c>
      <c r="AH34" t="s">
        <v>600</v>
      </c>
      <c r="AI34" t="s">
        <v>588</v>
      </c>
      <c r="AJ34" t="str">
        <f t="shared" si="2"/>
        <v>804273054155</v>
      </c>
      <c r="AL34">
        <v>1</v>
      </c>
      <c r="AM34" t="s">
        <v>19</v>
      </c>
      <c r="AN34" t="s">
        <v>601</v>
      </c>
      <c r="AO34" t="s">
        <v>21</v>
      </c>
      <c r="AP34" t="s">
        <v>602</v>
      </c>
      <c r="AQ34" t="s">
        <v>601</v>
      </c>
      <c r="AR34" t="s">
        <v>131</v>
      </c>
      <c r="AS34" t="s">
        <v>603</v>
      </c>
      <c r="AV34">
        <v>56.99</v>
      </c>
      <c r="AW34">
        <v>87.93</v>
      </c>
      <c r="AX34" t="s">
        <v>604</v>
      </c>
    </row>
    <row r="35" spans="1:50">
      <c r="A35" t="s">
        <v>605</v>
      </c>
      <c r="B35" t="s">
        <v>1</v>
      </c>
      <c r="C35" t="str">
        <f t="shared" si="3"/>
        <v>DOES THE COMPANY THAT MAKES PURINA® WIND AND RAIN® GOAT MINERAL 804273059884 HAVE A WEBSITE</v>
      </c>
      <c r="D35" t="s">
        <v>2</v>
      </c>
      <c r="J35" t="s">
        <v>1124</v>
      </c>
      <c r="K35" s="1" t="s">
        <v>3</v>
      </c>
      <c r="O35" t="s">
        <v>1079</v>
      </c>
      <c r="P35" t="s">
        <v>606</v>
      </c>
      <c r="R35" t="s">
        <v>47</v>
      </c>
      <c r="V35" t="s">
        <v>84</v>
      </c>
      <c r="W35" t="s">
        <v>607</v>
      </c>
      <c r="X35" t="s">
        <v>608</v>
      </c>
      <c r="Y35" t="s">
        <v>16</v>
      </c>
      <c r="Z35" t="s">
        <v>609</v>
      </c>
      <c r="AA35" t="s">
        <v>610</v>
      </c>
      <c r="AB35" t="s">
        <v>16</v>
      </c>
      <c r="AC35" t="s">
        <v>611</v>
      </c>
      <c r="AD35" t="s">
        <v>612</v>
      </c>
      <c r="AE35" t="s">
        <v>608</v>
      </c>
      <c r="AF35" t="s">
        <v>607</v>
      </c>
      <c r="AG35" t="s">
        <v>613</v>
      </c>
      <c r="AH35" t="s">
        <v>614</v>
      </c>
      <c r="AI35" t="s">
        <v>606</v>
      </c>
      <c r="AJ35" t="str">
        <f t="shared" si="2"/>
        <v>804273059884</v>
      </c>
      <c r="AL35">
        <v>1</v>
      </c>
      <c r="AM35" t="s">
        <v>19</v>
      </c>
      <c r="AN35" t="s">
        <v>615</v>
      </c>
      <c r="AO35" t="s">
        <v>21</v>
      </c>
      <c r="AP35" t="s">
        <v>616</v>
      </c>
      <c r="AQ35" t="s">
        <v>615</v>
      </c>
      <c r="AR35" t="s">
        <v>297</v>
      </c>
      <c r="AS35" t="s">
        <v>617</v>
      </c>
      <c r="AV35">
        <v>47.47</v>
      </c>
      <c r="AW35">
        <v>56.41</v>
      </c>
      <c r="AX35" t="s">
        <v>618</v>
      </c>
    </row>
    <row r="36" spans="1:50">
      <c r="A36" t="s">
        <v>619</v>
      </c>
      <c r="B36" t="s">
        <v>620</v>
      </c>
      <c r="C36" t="str">
        <f t="shared" si="3"/>
        <v>DOES THE COMPANY THAT MAKES PURINA® FARM TO FLOCK® LARVAE FOR LADIES™ HEN TREATS 804273082370 HAVE A WEBSITE</v>
      </c>
      <c r="D36" t="s">
        <v>2</v>
      </c>
      <c r="J36" t="s">
        <v>1125</v>
      </c>
      <c r="K36" s="1" t="s">
        <v>3</v>
      </c>
      <c r="L36" t="s">
        <v>621</v>
      </c>
      <c r="O36" t="s">
        <v>1080</v>
      </c>
      <c r="P36" t="s">
        <v>622</v>
      </c>
      <c r="V36" t="s">
        <v>572</v>
      </c>
      <c r="W36" t="s">
        <v>623</v>
      </c>
      <c r="X36" t="s">
        <v>624</v>
      </c>
      <c r="Y36" t="s">
        <v>625</v>
      </c>
      <c r="Z36" t="s">
        <v>626</v>
      </c>
      <c r="AA36" t="s">
        <v>627</v>
      </c>
      <c r="AB36" t="s">
        <v>625</v>
      </c>
      <c r="AC36" t="s">
        <v>628</v>
      </c>
      <c r="AD36" t="s">
        <v>629</v>
      </c>
      <c r="AE36" t="s">
        <v>630</v>
      </c>
      <c r="AF36" t="s">
        <v>292</v>
      </c>
      <c r="AG36" t="s">
        <v>631</v>
      </c>
      <c r="AH36" t="s">
        <v>632</v>
      </c>
      <c r="AI36" t="s">
        <v>622</v>
      </c>
      <c r="AJ36" t="str">
        <f t="shared" si="2"/>
        <v>804273082370</v>
      </c>
      <c r="AL36">
        <v>0</v>
      </c>
      <c r="AM36" t="s">
        <v>79</v>
      </c>
    </row>
    <row r="37" spans="1:50">
      <c r="A37" t="s">
        <v>633</v>
      </c>
      <c r="B37" t="s">
        <v>1</v>
      </c>
      <c r="C37" t="str">
        <f t="shared" si="3"/>
        <v>DOES THE COMPANY THAT MAKES PURINA® MEAT GOAT GROWER 16 DQ 804273054131 HAVE A WEBSITE</v>
      </c>
      <c r="D37" t="s">
        <v>2</v>
      </c>
      <c r="J37" t="s">
        <v>1126</v>
      </c>
      <c r="K37" s="1" t="s">
        <v>3</v>
      </c>
      <c r="P37" t="s">
        <v>634</v>
      </c>
      <c r="Q37" t="s">
        <v>635</v>
      </c>
      <c r="V37" t="s">
        <v>484</v>
      </c>
      <c r="W37" t="s">
        <v>636</v>
      </c>
      <c r="X37" t="s">
        <v>637</v>
      </c>
      <c r="Y37" t="s">
        <v>638</v>
      </c>
      <c r="Z37" t="s">
        <v>639</v>
      </c>
      <c r="AA37" t="s">
        <v>640</v>
      </c>
      <c r="AB37" t="s">
        <v>638</v>
      </c>
      <c r="AC37" t="s">
        <v>641</v>
      </c>
      <c r="AD37" t="s">
        <v>642</v>
      </c>
      <c r="AE37" t="s">
        <v>643</v>
      </c>
      <c r="AF37" t="s">
        <v>311</v>
      </c>
      <c r="AG37" t="s">
        <v>644</v>
      </c>
      <c r="AH37" t="s">
        <v>645</v>
      </c>
      <c r="AI37" t="s">
        <v>634</v>
      </c>
      <c r="AJ37" t="str">
        <f t="shared" si="2"/>
        <v>804273054131</v>
      </c>
      <c r="AL37">
        <v>1</v>
      </c>
      <c r="AM37" t="s">
        <v>19</v>
      </c>
      <c r="AN37" t="s">
        <v>646</v>
      </c>
      <c r="AO37" t="s">
        <v>21</v>
      </c>
      <c r="AP37" t="s">
        <v>647</v>
      </c>
      <c r="AQ37" t="s">
        <v>646</v>
      </c>
      <c r="AR37" t="s">
        <v>648</v>
      </c>
      <c r="AS37" t="s">
        <v>190</v>
      </c>
      <c r="AV37">
        <v>61.16</v>
      </c>
      <c r="AW37">
        <v>81.47</v>
      </c>
      <c r="AX37" t="s">
        <v>649</v>
      </c>
    </row>
    <row r="38" spans="1:50">
      <c r="A38" t="s">
        <v>26</v>
      </c>
      <c r="B38" t="s">
        <v>1</v>
      </c>
      <c r="C38" t="str">
        <f t="shared" si="3"/>
        <v>DOES THE COMPANY THAT MAKES PURINA® MINIATURE HORSE &amp; PONY FEED 804273030470.0, 804273088709 HAVE A WEBSITE</v>
      </c>
      <c r="D38" t="s">
        <v>2</v>
      </c>
      <c r="J38" t="s">
        <v>1127</v>
      </c>
      <c r="K38" s="1" t="s">
        <v>3</v>
      </c>
      <c r="O38" t="s">
        <v>1073</v>
      </c>
      <c r="P38" t="s">
        <v>27</v>
      </c>
      <c r="V38" t="s">
        <v>28</v>
      </c>
      <c r="W38" t="s">
        <v>29</v>
      </c>
      <c r="X38" t="s">
        <v>30</v>
      </c>
      <c r="Y38" t="s">
        <v>31</v>
      </c>
      <c r="Z38" t="s">
        <v>32</v>
      </c>
      <c r="AA38" t="s">
        <v>33</v>
      </c>
      <c r="AB38" t="s">
        <v>31</v>
      </c>
      <c r="AC38" t="s">
        <v>34</v>
      </c>
      <c r="AD38" t="s">
        <v>35</v>
      </c>
      <c r="AE38" t="s">
        <v>36</v>
      </c>
      <c r="AF38" t="s">
        <v>37</v>
      </c>
      <c r="AG38" t="s">
        <v>38</v>
      </c>
      <c r="AH38" t="s">
        <v>39</v>
      </c>
      <c r="AI38" t="s">
        <v>27</v>
      </c>
      <c r="AJ38" t="str">
        <f>TEXT(_xlfn.TEXTBEFORE(AI38,".",1,1,0,AI38),"000000000000")</f>
        <v>804273030470</v>
      </c>
      <c r="AL38">
        <v>1</v>
      </c>
      <c r="AM38" t="s">
        <v>19</v>
      </c>
      <c r="AN38" t="s">
        <v>40</v>
      </c>
      <c r="AO38" t="s">
        <v>21</v>
      </c>
      <c r="AP38" t="s">
        <v>41</v>
      </c>
      <c r="AQ38" t="s">
        <v>42</v>
      </c>
      <c r="AR38" t="s">
        <v>43</v>
      </c>
      <c r="AV38">
        <v>51.5</v>
      </c>
      <c r="AW38">
        <v>77.31</v>
      </c>
      <c r="AX38" t="s">
        <v>44</v>
      </c>
    </row>
    <row r="39" spans="1:50">
      <c r="A39" t="s">
        <v>650</v>
      </c>
      <c r="B39" t="s">
        <v>65</v>
      </c>
      <c r="C39" t="str">
        <f t="shared" si="3"/>
        <v>DOES THE COMPANY THAT MAKES PURINA® SYSTEMIQ® PROBIOTIC HORSE SUPPLEMENT 804273103921 HAVE A WEBSITE</v>
      </c>
      <c r="D39" t="s">
        <v>2</v>
      </c>
      <c r="J39" t="s">
        <v>1128</v>
      </c>
      <c r="K39" s="1" t="s">
        <v>3</v>
      </c>
      <c r="L39" t="s">
        <v>651</v>
      </c>
      <c r="O39" t="s">
        <v>1082</v>
      </c>
      <c r="P39" t="s">
        <v>652</v>
      </c>
      <c r="V39" t="s">
        <v>653</v>
      </c>
      <c r="W39" t="s">
        <v>654</v>
      </c>
      <c r="X39" t="s">
        <v>655</v>
      </c>
      <c r="Y39" t="s">
        <v>339</v>
      </c>
      <c r="Z39" t="s">
        <v>656</v>
      </c>
      <c r="AA39" t="s">
        <v>657</v>
      </c>
      <c r="AB39" t="s">
        <v>339</v>
      </c>
      <c r="AC39" t="s">
        <v>658</v>
      </c>
      <c r="AD39" t="s">
        <v>659</v>
      </c>
      <c r="AE39" t="s">
        <v>660</v>
      </c>
      <c r="AF39" t="s">
        <v>661</v>
      </c>
      <c r="AG39" t="s">
        <v>662</v>
      </c>
      <c r="AH39" t="s">
        <v>663</v>
      </c>
      <c r="AI39" t="s">
        <v>652</v>
      </c>
      <c r="AJ39" t="str">
        <f t="shared" ref="AJ39:AJ63" si="4">IF(ISBLANK(AI39),"",TEXT(AI39,"000000000000"))</f>
        <v>804273103921</v>
      </c>
      <c r="AL39">
        <v>1</v>
      </c>
      <c r="AM39" t="s">
        <v>19</v>
      </c>
      <c r="AN39" t="s">
        <v>664</v>
      </c>
      <c r="AO39" t="s">
        <v>21</v>
      </c>
      <c r="AQ39" t="s">
        <v>665</v>
      </c>
      <c r="AV39">
        <v>74.989999999999995</v>
      </c>
      <c r="AW39">
        <v>74.989999999999995</v>
      </c>
      <c r="AX39" t="s">
        <v>666</v>
      </c>
    </row>
    <row r="40" spans="1:50">
      <c r="A40" t="s">
        <v>667</v>
      </c>
      <c r="B40" t="s">
        <v>1</v>
      </c>
      <c r="C40" t="str">
        <f t="shared" si="3"/>
        <v>DOES THE COMPANY THAT MAKES PURINA® NICKER MAKERS® HORSE TREATS 804273045726 HAVE A WEBSITE</v>
      </c>
      <c r="D40" t="s">
        <v>2</v>
      </c>
      <c r="J40" t="s">
        <v>1129</v>
      </c>
      <c r="K40" s="1" t="s">
        <v>3</v>
      </c>
      <c r="O40" t="s">
        <v>1078</v>
      </c>
      <c r="P40" t="s">
        <v>668</v>
      </c>
      <c r="V40" t="s">
        <v>669</v>
      </c>
      <c r="W40" t="s">
        <v>670</v>
      </c>
      <c r="X40" t="s">
        <v>671</v>
      </c>
      <c r="Y40" t="s">
        <v>575</v>
      </c>
      <c r="Z40" t="s">
        <v>672</v>
      </c>
      <c r="AA40" t="s">
        <v>673</v>
      </c>
      <c r="AB40" t="s">
        <v>575</v>
      </c>
      <c r="AC40" t="s">
        <v>674</v>
      </c>
      <c r="AD40" t="s">
        <v>675</v>
      </c>
      <c r="AE40" t="s">
        <v>676</v>
      </c>
      <c r="AF40" t="s">
        <v>541</v>
      </c>
      <c r="AG40" t="s">
        <v>677</v>
      </c>
      <c r="AH40" t="s">
        <v>678</v>
      </c>
      <c r="AI40" t="s">
        <v>668</v>
      </c>
      <c r="AJ40" t="str">
        <f t="shared" si="4"/>
        <v>804273045726</v>
      </c>
      <c r="AL40">
        <v>1</v>
      </c>
      <c r="AM40" t="s">
        <v>19</v>
      </c>
      <c r="AN40" t="s">
        <v>679</v>
      </c>
      <c r="AO40" t="s">
        <v>21</v>
      </c>
      <c r="AP40" t="s">
        <v>680</v>
      </c>
      <c r="AQ40" t="s">
        <v>681</v>
      </c>
      <c r="AR40" t="s">
        <v>23</v>
      </c>
      <c r="AT40" t="s">
        <v>682</v>
      </c>
      <c r="AV40">
        <v>4.99</v>
      </c>
      <c r="AW40">
        <v>33</v>
      </c>
      <c r="AX40" t="s">
        <v>683</v>
      </c>
    </row>
    <row r="41" spans="1:50">
      <c r="A41" t="s">
        <v>684</v>
      </c>
      <c r="B41" t="s">
        <v>1</v>
      </c>
      <c r="C41" t="str">
        <f t="shared" si="3"/>
        <v>DOES THE COMPANY THAT MAKES PURINA® ORGANIC LAYER CRUMBLES CHICKEN FEED 804273047003 HAVE A WEBSITE</v>
      </c>
      <c r="D41" t="s">
        <v>2</v>
      </c>
      <c r="J41" t="s">
        <v>1130</v>
      </c>
      <c r="K41" s="1" t="s">
        <v>3</v>
      </c>
      <c r="O41" t="s">
        <v>1081</v>
      </c>
      <c r="P41" t="s">
        <v>685</v>
      </c>
      <c r="V41" t="s">
        <v>67</v>
      </c>
      <c r="W41" t="s">
        <v>686</v>
      </c>
      <c r="X41" t="s">
        <v>687</v>
      </c>
      <c r="Y41" t="s">
        <v>688</v>
      </c>
      <c r="Z41" t="s">
        <v>689</v>
      </c>
      <c r="AA41" t="s">
        <v>690</v>
      </c>
      <c r="AB41" t="s">
        <v>688</v>
      </c>
      <c r="AC41" t="s">
        <v>691</v>
      </c>
      <c r="AD41" t="s">
        <v>692</v>
      </c>
      <c r="AE41" t="s">
        <v>693</v>
      </c>
      <c r="AF41" t="s">
        <v>694</v>
      </c>
      <c r="AG41" t="s">
        <v>695</v>
      </c>
      <c r="AH41" t="s">
        <v>696</v>
      </c>
      <c r="AI41" t="s">
        <v>685</v>
      </c>
      <c r="AJ41" t="str">
        <f t="shared" si="4"/>
        <v>804273047003</v>
      </c>
      <c r="AL41">
        <v>1</v>
      </c>
      <c r="AM41" t="s">
        <v>19</v>
      </c>
      <c r="AN41" t="s">
        <v>697</v>
      </c>
      <c r="AO41" t="s">
        <v>21</v>
      </c>
      <c r="AP41" t="s">
        <v>698</v>
      </c>
      <c r="AQ41" t="s">
        <v>697</v>
      </c>
      <c r="AR41" t="s">
        <v>297</v>
      </c>
      <c r="AV41">
        <v>48.63</v>
      </c>
      <c r="AW41">
        <v>88</v>
      </c>
      <c r="AX41" t="s">
        <v>699</v>
      </c>
    </row>
    <row r="42" spans="1:50">
      <c r="A42" t="s">
        <v>700</v>
      </c>
      <c r="B42" t="s">
        <v>1</v>
      </c>
      <c r="C42" t="str">
        <f t="shared" si="3"/>
        <v>DOES THE COMPANY THAT MAKES PURINA® ORGANIC LAYER PELLETS CHICKEN FOOD 804273046990 HAVE A WEBSITE</v>
      </c>
      <c r="D42" t="s">
        <v>2</v>
      </c>
      <c r="J42" t="s">
        <v>1131</v>
      </c>
      <c r="K42" s="1" t="s">
        <v>3</v>
      </c>
      <c r="O42" t="s">
        <v>1081</v>
      </c>
      <c r="P42" t="s">
        <v>701</v>
      </c>
      <c r="V42" t="s">
        <v>484</v>
      </c>
      <c r="W42" t="s">
        <v>702</v>
      </c>
      <c r="X42" t="s">
        <v>703</v>
      </c>
      <c r="Y42" t="s">
        <v>704</v>
      </c>
      <c r="Z42" t="s">
        <v>705</v>
      </c>
      <c r="AA42" t="s">
        <v>706</v>
      </c>
      <c r="AB42" t="s">
        <v>704</v>
      </c>
      <c r="AC42" t="s">
        <v>707</v>
      </c>
      <c r="AD42" t="s">
        <v>708</v>
      </c>
      <c r="AE42" t="s">
        <v>709</v>
      </c>
      <c r="AF42" t="s">
        <v>694</v>
      </c>
      <c r="AG42" t="s">
        <v>710</v>
      </c>
      <c r="AH42" t="s">
        <v>711</v>
      </c>
      <c r="AI42" t="s">
        <v>701</v>
      </c>
      <c r="AJ42" t="str">
        <f t="shared" si="4"/>
        <v>804273046990</v>
      </c>
      <c r="AL42">
        <v>1</v>
      </c>
      <c r="AM42" t="s">
        <v>19</v>
      </c>
      <c r="AN42" t="s">
        <v>712</v>
      </c>
      <c r="AO42" t="s">
        <v>21</v>
      </c>
      <c r="AP42" t="s">
        <v>713</v>
      </c>
      <c r="AQ42" t="s">
        <v>714</v>
      </c>
      <c r="AR42" t="s">
        <v>189</v>
      </c>
      <c r="AS42" t="s">
        <v>715</v>
      </c>
      <c r="AV42">
        <v>53.99</v>
      </c>
      <c r="AW42">
        <v>76.31</v>
      </c>
      <c r="AX42" t="s">
        <v>716</v>
      </c>
    </row>
    <row r="43" spans="1:50">
      <c r="A43" t="s">
        <v>717</v>
      </c>
      <c r="B43" t="s">
        <v>1</v>
      </c>
      <c r="C43" t="str">
        <f t="shared" si="3"/>
        <v>DOES THE COMPANY THAT MAKES PURINA® ORGANIC SCRATCH GRAINS FOR CHICKENS 804273047027 HAVE A WEBSITE</v>
      </c>
      <c r="D43" t="s">
        <v>2</v>
      </c>
      <c r="J43" t="s">
        <v>1132</v>
      </c>
      <c r="K43" s="1" t="s">
        <v>3</v>
      </c>
      <c r="O43" t="s">
        <v>1081</v>
      </c>
      <c r="P43" t="s">
        <v>718</v>
      </c>
      <c r="Q43" t="s">
        <v>718</v>
      </c>
      <c r="V43" t="s">
        <v>198</v>
      </c>
      <c r="W43" t="s">
        <v>719</v>
      </c>
      <c r="X43" t="s">
        <v>720</v>
      </c>
      <c r="Y43" t="s">
        <v>605</v>
      </c>
      <c r="Z43" t="s">
        <v>721</v>
      </c>
      <c r="AA43" t="s">
        <v>722</v>
      </c>
      <c r="AB43" t="s">
        <v>605</v>
      </c>
      <c r="AC43" t="s">
        <v>723</v>
      </c>
      <c r="AD43" t="s">
        <v>724</v>
      </c>
      <c r="AE43" t="s">
        <v>725</v>
      </c>
      <c r="AF43" t="s">
        <v>37</v>
      </c>
      <c r="AG43" t="s">
        <v>726</v>
      </c>
      <c r="AH43" t="s">
        <v>727</v>
      </c>
      <c r="AI43" t="s">
        <v>718</v>
      </c>
      <c r="AJ43" t="str">
        <f t="shared" si="4"/>
        <v>804273047027</v>
      </c>
      <c r="AL43">
        <v>1</v>
      </c>
      <c r="AM43" t="s">
        <v>19</v>
      </c>
      <c r="AN43" t="s">
        <v>728</v>
      </c>
      <c r="AO43" t="s">
        <v>21</v>
      </c>
      <c r="AP43" t="s">
        <v>729</v>
      </c>
      <c r="AQ43" t="s">
        <v>728</v>
      </c>
      <c r="AR43" t="s">
        <v>335</v>
      </c>
      <c r="AS43" t="s">
        <v>24</v>
      </c>
      <c r="AV43">
        <v>55.36</v>
      </c>
      <c r="AW43">
        <v>71.3</v>
      </c>
      <c r="AX43" t="s">
        <v>730</v>
      </c>
    </row>
    <row r="44" spans="1:50">
      <c r="A44" t="s">
        <v>731</v>
      </c>
      <c r="B44" t="s">
        <v>1</v>
      </c>
      <c r="C44" t="str">
        <f t="shared" si="3"/>
        <v>DOES THE COMPANY THAT MAKES PURINA® OUTLAST® HORSE TREATS 804273063256 HAVE A WEBSITE</v>
      </c>
      <c r="D44" t="s">
        <v>2</v>
      </c>
      <c r="J44" t="s">
        <v>1133</v>
      </c>
      <c r="K44" s="1" t="s">
        <v>3</v>
      </c>
      <c r="O44" t="s">
        <v>1081</v>
      </c>
      <c r="P44" t="s">
        <v>732</v>
      </c>
      <c r="V44" t="s">
        <v>67</v>
      </c>
      <c r="W44" t="s">
        <v>733</v>
      </c>
      <c r="X44" t="s">
        <v>734</v>
      </c>
      <c r="Y44" t="s">
        <v>735</v>
      </c>
      <c r="Z44" t="s">
        <v>736</v>
      </c>
      <c r="AA44" t="s">
        <v>737</v>
      </c>
      <c r="AB44" t="s">
        <v>735</v>
      </c>
      <c r="AC44" t="s">
        <v>738</v>
      </c>
      <c r="AD44" t="s">
        <v>739</v>
      </c>
      <c r="AE44" t="s">
        <v>740</v>
      </c>
      <c r="AF44" t="s">
        <v>741</v>
      </c>
      <c r="AG44" t="s">
        <v>742</v>
      </c>
      <c r="AH44" t="s">
        <v>743</v>
      </c>
      <c r="AI44" t="s">
        <v>732</v>
      </c>
      <c r="AJ44" t="str">
        <f t="shared" si="4"/>
        <v>804273063256</v>
      </c>
      <c r="AL44">
        <v>1</v>
      </c>
      <c r="AM44" t="s">
        <v>19</v>
      </c>
      <c r="AN44" t="s">
        <v>744</v>
      </c>
      <c r="AO44" t="s">
        <v>745</v>
      </c>
      <c r="AP44" t="s">
        <v>746</v>
      </c>
      <c r="AQ44" t="s">
        <v>744</v>
      </c>
      <c r="AR44" t="s">
        <v>747</v>
      </c>
      <c r="AT44" t="s">
        <v>748</v>
      </c>
      <c r="AV44">
        <v>11.58</v>
      </c>
      <c r="AW44">
        <v>27.72</v>
      </c>
      <c r="AX44" t="s">
        <v>749</v>
      </c>
    </row>
    <row r="45" spans="1:50">
      <c r="A45" t="s">
        <v>750</v>
      </c>
      <c r="B45" t="s">
        <v>401</v>
      </c>
      <c r="C45" t="str">
        <f t="shared" si="3"/>
        <v>DOES THE COMPANY THAT MAKES PURINA® PROBIOTIC DIGESTIVE SUPPLIMENT FOR POULTY 804273097008 HAVE A WEBSITE</v>
      </c>
      <c r="D45" t="s">
        <v>2</v>
      </c>
      <c r="J45" t="s">
        <v>1134</v>
      </c>
      <c r="K45" s="1" t="s">
        <v>3</v>
      </c>
      <c r="O45" t="s">
        <v>1157</v>
      </c>
      <c r="P45" t="s">
        <v>751</v>
      </c>
      <c r="V45" t="s">
        <v>752</v>
      </c>
      <c r="W45" t="s">
        <v>753</v>
      </c>
      <c r="X45" t="s">
        <v>754</v>
      </c>
      <c r="Y45" t="s">
        <v>755</v>
      </c>
      <c r="Z45" t="s">
        <v>756</v>
      </c>
      <c r="AA45" t="s">
        <v>757</v>
      </c>
      <c r="AB45" t="s">
        <v>755</v>
      </c>
      <c r="AC45" t="s">
        <v>758</v>
      </c>
      <c r="AD45" t="s">
        <v>759</v>
      </c>
      <c r="AE45" t="s">
        <v>758</v>
      </c>
      <c r="AF45" t="s">
        <v>759</v>
      </c>
      <c r="AG45" t="s">
        <v>760</v>
      </c>
      <c r="AH45" t="s">
        <v>761</v>
      </c>
      <c r="AI45" t="s">
        <v>751</v>
      </c>
      <c r="AJ45" t="str">
        <f t="shared" si="4"/>
        <v>804273097008</v>
      </c>
      <c r="AL45">
        <v>1</v>
      </c>
      <c r="AM45" t="s">
        <v>19</v>
      </c>
      <c r="AN45" t="s">
        <v>762</v>
      </c>
      <c r="AO45" t="s">
        <v>21</v>
      </c>
      <c r="AQ45" t="s">
        <v>763</v>
      </c>
      <c r="AV45">
        <v>13.99</v>
      </c>
      <c r="AW45">
        <v>13.99</v>
      </c>
      <c r="AX45" t="s">
        <v>764</v>
      </c>
    </row>
    <row r="46" spans="1:50">
      <c r="A46" t="s">
        <v>765</v>
      </c>
      <c r="B46" t="s">
        <v>65</v>
      </c>
      <c r="C46" t="str">
        <f t="shared" si="3"/>
        <v>DOES THE COMPANY THAT MAKES PURINA® RACE READY® HORSE FEED 80427310150 HAVE A WEBSITE</v>
      </c>
      <c r="D46" t="s">
        <v>2</v>
      </c>
      <c r="J46" t="s">
        <v>1135</v>
      </c>
      <c r="K46" s="1" t="s">
        <v>3</v>
      </c>
      <c r="O46" t="s">
        <v>1073</v>
      </c>
      <c r="V46" t="s">
        <v>421</v>
      </c>
      <c r="W46" t="s">
        <v>766</v>
      </c>
      <c r="X46" t="s">
        <v>767</v>
      </c>
      <c r="Y46" t="s">
        <v>28</v>
      </c>
      <c r="Z46" t="s">
        <v>768</v>
      </c>
      <c r="AA46" t="s">
        <v>769</v>
      </c>
      <c r="AB46" t="s">
        <v>28</v>
      </c>
      <c r="AC46" t="s">
        <v>770</v>
      </c>
      <c r="AD46" t="s">
        <v>771</v>
      </c>
      <c r="AE46" t="s">
        <v>772</v>
      </c>
      <c r="AF46" t="s">
        <v>771</v>
      </c>
      <c r="AG46" t="s">
        <v>773</v>
      </c>
      <c r="AH46" t="s">
        <v>774</v>
      </c>
      <c r="AI46" t="s">
        <v>775</v>
      </c>
      <c r="AJ46" t="str">
        <f t="shared" si="4"/>
        <v>080427310150</v>
      </c>
      <c r="AL46">
        <v>0</v>
      </c>
      <c r="AM46" t="s">
        <v>79</v>
      </c>
    </row>
    <row r="47" spans="1:50">
      <c r="A47" t="s">
        <v>776</v>
      </c>
      <c r="B47" t="s">
        <v>401</v>
      </c>
      <c r="C47" t="str">
        <f t="shared" si="3"/>
        <v>DOES THE COMPANY THAT MAKES PURINA® REPLENIMASH® PRODUCT 80427308683 HAVE A WEBSITE</v>
      </c>
      <c r="D47" t="s">
        <v>2</v>
      </c>
      <c r="J47" t="s">
        <v>1136</v>
      </c>
      <c r="K47" s="1" t="s">
        <v>3</v>
      </c>
      <c r="O47" t="s">
        <v>1079</v>
      </c>
      <c r="P47" t="s">
        <v>777</v>
      </c>
      <c r="V47" t="s">
        <v>572</v>
      </c>
      <c r="W47" t="s">
        <v>778</v>
      </c>
      <c r="X47" t="s">
        <v>779</v>
      </c>
      <c r="Y47" t="s">
        <v>780</v>
      </c>
      <c r="Z47" t="s">
        <v>781</v>
      </c>
      <c r="AA47" t="s">
        <v>782</v>
      </c>
      <c r="AB47" t="s">
        <v>780</v>
      </c>
      <c r="AC47" t="s">
        <v>783</v>
      </c>
      <c r="AD47" t="s">
        <v>784</v>
      </c>
      <c r="AE47" t="s">
        <v>785</v>
      </c>
      <c r="AF47" t="s">
        <v>786</v>
      </c>
      <c r="AG47" t="s">
        <v>787</v>
      </c>
      <c r="AH47" t="s">
        <v>788</v>
      </c>
      <c r="AI47" t="s">
        <v>789</v>
      </c>
      <c r="AJ47" t="str">
        <f t="shared" si="4"/>
        <v>080427308683</v>
      </c>
      <c r="AL47">
        <v>0</v>
      </c>
      <c r="AM47" t="s">
        <v>79</v>
      </c>
    </row>
    <row r="48" spans="1:50">
      <c r="A48" t="s">
        <v>790</v>
      </c>
      <c r="B48" t="s">
        <v>1</v>
      </c>
      <c r="C48" t="str">
        <f t="shared" si="3"/>
        <v>DOES THE COMPANY THAT MAKES PURINA® SUPERSPORT® AMINO ACID HORSE SUPPLEMENT 804273040967 HAVE A WEBSITE</v>
      </c>
      <c r="D48" t="s">
        <v>2</v>
      </c>
      <c r="J48" t="s">
        <v>1137</v>
      </c>
      <c r="K48" s="1" t="s">
        <v>3</v>
      </c>
      <c r="O48" t="s">
        <v>1079</v>
      </c>
      <c r="P48" t="s">
        <v>791</v>
      </c>
      <c r="V48" t="s">
        <v>67</v>
      </c>
      <c r="W48" t="s">
        <v>792</v>
      </c>
      <c r="X48" t="s">
        <v>793</v>
      </c>
      <c r="Y48" t="s">
        <v>794</v>
      </c>
      <c r="Z48" t="s">
        <v>795</v>
      </c>
      <c r="AA48" t="s">
        <v>796</v>
      </c>
      <c r="AB48" t="s">
        <v>794</v>
      </c>
      <c r="AC48" t="s">
        <v>797</v>
      </c>
      <c r="AD48" t="s">
        <v>798</v>
      </c>
      <c r="AE48" t="s">
        <v>799</v>
      </c>
      <c r="AF48" t="s">
        <v>800</v>
      </c>
      <c r="AG48" t="s">
        <v>801</v>
      </c>
      <c r="AH48" t="s">
        <v>802</v>
      </c>
      <c r="AI48" t="s">
        <v>791</v>
      </c>
      <c r="AJ48" t="str">
        <f t="shared" si="4"/>
        <v>804273040967</v>
      </c>
      <c r="AL48">
        <v>1</v>
      </c>
      <c r="AM48" t="s">
        <v>19</v>
      </c>
      <c r="AN48" t="s">
        <v>803</v>
      </c>
      <c r="AO48" t="s">
        <v>21</v>
      </c>
      <c r="AP48" t="s">
        <v>804</v>
      </c>
      <c r="AQ48" t="s">
        <v>805</v>
      </c>
      <c r="AR48" t="s">
        <v>806</v>
      </c>
      <c r="AV48">
        <v>53.87</v>
      </c>
      <c r="AW48">
        <v>135.99</v>
      </c>
      <c r="AX48" t="s">
        <v>807</v>
      </c>
    </row>
    <row r="49" spans="1:50">
      <c r="A49" t="s">
        <v>827</v>
      </c>
      <c r="B49" t="s">
        <v>809</v>
      </c>
      <c r="C49" t="str">
        <f t="shared" si="3"/>
        <v>DOES THE COMPANY THAT MAKES PURINA® COMPLETE RABBIT FEED 804273059273 HAVE A WEBSITE</v>
      </c>
      <c r="D49" t="s">
        <v>2</v>
      </c>
      <c r="E49" t="s">
        <v>827</v>
      </c>
      <c r="F49" t="s">
        <v>1037</v>
      </c>
      <c r="J49" t="s">
        <v>1138</v>
      </c>
      <c r="K49" s="1" t="s">
        <v>3</v>
      </c>
      <c r="O49" t="s">
        <v>1073</v>
      </c>
      <c r="P49" t="s">
        <v>828</v>
      </c>
      <c r="V49" t="s">
        <v>572</v>
      </c>
      <c r="W49" t="s">
        <v>829</v>
      </c>
      <c r="X49" t="s">
        <v>830</v>
      </c>
      <c r="Y49" t="s">
        <v>101</v>
      </c>
      <c r="Z49" t="s">
        <v>831</v>
      </c>
      <c r="AA49" t="s">
        <v>832</v>
      </c>
      <c r="AB49" t="s">
        <v>101</v>
      </c>
      <c r="AC49" t="s">
        <v>833</v>
      </c>
      <c r="AD49" t="s">
        <v>834</v>
      </c>
      <c r="AE49" t="s">
        <v>835</v>
      </c>
      <c r="AF49" t="s">
        <v>617</v>
      </c>
      <c r="AG49" t="s">
        <v>836</v>
      </c>
      <c r="AH49" t="s">
        <v>837</v>
      </c>
      <c r="AI49" t="s">
        <v>828</v>
      </c>
      <c r="AJ49" t="str">
        <f t="shared" si="4"/>
        <v>804273059273</v>
      </c>
      <c r="AL49">
        <v>1</v>
      </c>
      <c r="AM49" t="s">
        <v>19</v>
      </c>
      <c r="AN49" t="s">
        <v>838</v>
      </c>
      <c r="AO49" t="s">
        <v>21</v>
      </c>
      <c r="AP49" t="s">
        <v>839</v>
      </c>
      <c r="AQ49" t="s">
        <v>838</v>
      </c>
      <c r="AR49" t="s">
        <v>840</v>
      </c>
      <c r="AV49">
        <v>12.99</v>
      </c>
      <c r="AW49">
        <v>80.790000000000006</v>
      </c>
      <c r="AX49" t="s">
        <v>841</v>
      </c>
    </row>
    <row r="50" spans="1:50">
      <c r="A50" t="s">
        <v>808</v>
      </c>
      <c r="B50" t="s">
        <v>809</v>
      </c>
      <c r="C50" t="str">
        <f t="shared" si="3"/>
        <v>DOES THE COMPANY THAT MAKES PURINA® COMPLETE RABBIT FEED 804273059266 HAVE A WEBSITE</v>
      </c>
      <c r="D50" t="s">
        <v>2</v>
      </c>
      <c r="E50" t="s">
        <v>827</v>
      </c>
      <c r="F50" t="s">
        <v>1037</v>
      </c>
      <c r="J50" t="s">
        <v>1138</v>
      </c>
      <c r="K50" s="1" t="s">
        <v>3</v>
      </c>
      <c r="O50" t="s">
        <v>1079</v>
      </c>
      <c r="P50" t="s">
        <v>810</v>
      </c>
      <c r="V50" t="s">
        <v>484</v>
      </c>
      <c r="W50" t="s">
        <v>811</v>
      </c>
      <c r="X50" t="s">
        <v>812</v>
      </c>
      <c r="Y50" t="s">
        <v>813</v>
      </c>
      <c r="Z50" t="s">
        <v>814</v>
      </c>
      <c r="AA50" t="s">
        <v>815</v>
      </c>
      <c r="AB50" t="s">
        <v>813</v>
      </c>
      <c r="AC50" t="s">
        <v>816</v>
      </c>
      <c r="AD50" t="s">
        <v>817</v>
      </c>
      <c r="AE50" t="s">
        <v>818</v>
      </c>
      <c r="AF50" t="s">
        <v>819</v>
      </c>
      <c r="AG50" t="s">
        <v>820</v>
      </c>
      <c r="AH50" t="s">
        <v>821</v>
      </c>
      <c r="AI50" t="s">
        <v>810</v>
      </c>
      <c r="AJ50" t="str">
        <f t="shared" si="4"/>
        <v>804273059266</v>
      </c>
      <c r="AL50">
        <v>1</v>
      </c>
      <c r="AM50" t="s">
        <v>19</v>
      </c>
      <c r="AN50" t="s">
        <v>822</v>
      </c>
      <c r="AO50" t="s">
        <v>21</v>
      </c>
      <c r="AP50" t="s">
        <v>823</v>
      </c>
      <c r="AQ50" t="s">
        <v>824</v>
      </c>
      <c r="AS50" t="s">
        <v>825</v>
      </c>
      <c r="AV50">
        <v>36.99</v>
      </c>
      <c r="AW50">
        <v>36.99</v>
      </c>
      <c r="AX50" t="s">
        <v>826</v>
      </c>
    </row>
    <row r="51" spans="1:50">
      <c r="A51" t="s">
        <v>842</v>
      </c>
      <c r="B51" t="s">
        <v>809</v>
      </c>
      <c r="C51" t="str">
        <f t="shared" si="3"/>
        <v>DOES THE COMPANY THAT MAKES PURINA® PROFESSIONAL RABBIT FEED 804273059280 HAVE A WEBSITE</v>
      </c>
      <c r="D51" t="s">
        <v>2</v>
      </c>
      <c r="J51" t="s">
        <v>1139</v>
      </c>
      <c r="K51" s="1" t="s">
        <v>3</v>
      </c>
      <c r="O51" t="s">
        <v>1073</v>
      </c>
      <c r="P51" t="s">
        <v>843</v>
      </c>
      <c r="V51" t="s">
        <v>572</v>
      </c>
      <c r="W51" t="s">
        <v>844</v>
      </c>
      <c r="X51" t="s">
        <v>845</v>
      </c>
      <c r="Y51" t="s">
        <v>846</v>
      </c>
      <c r="Z51" t="s">
        <v>847</v>
      </c>
      <c r="AA51" t="s">
        <v>848</v>
      </c>
      <c r="AB51" t="s">
        <v>846</v>
      </c>
      <c r="AC51" t="s">
        <v>849</v>
      </c>
      <c r="AD51" t="s">
        <v>850</v>
      </c>
      <c r="AE51" t="s">
        <v>851</v>
      </c>
      <c r="AF51" t="s">
        <v>154</v>
      </c>
      <c r="AG51" t="s">
        <v>852</v>
      </c>
      <c r="AH51" t="s">
        <v>853</v>
      </c>
      <c r="AI51" t="s">
        <v>843</v>
      </c>
      <c r="AJ51" t="str">
        <f t="shared" si="4"/>
        <v>804273059280</v>
      </c>
      <c r="AL51">
        <v>0</v>
      </c>
      <c r="AM51" t="s">
        <v>79</v>
      </c>
    </row>
    <row r="52" spans="1:50">
      <c r="A52" t="s">
        <v>854</v>
      </c>
      <c r="B52" t="s">
        <v>1</v>
      </c>
      <c r="C52" t="str">
        <f t="shared" si="3"/>
        <v>DOES THE COMPANY THAT MAKES PURINA® SCRATCH GRAINS 804273062402 HAVE A WEBSITE</v>
      </c>
      <c r="D52" t="s">
        <v>2</v>
      </c>
      <c r="J52" t="s">
        <v>1140</v>
      </c>
      <c r="K52" s="1" t="s">
        <v>3</v>
      </c>
      <c r="O52" t="s">
        <v>1073</v>
      </c>
      <c r="P52" t="s">
        <v>855</v>
      </c>
      <c r="Q52" t="s">
        <v>856</v>
      </c>
      <c r="R52" t="s">
        <v>47</v>
      </c>
      <c r="U52" t="s">
        <v>117</v>
      </c>
      <c r="V52" t="s">
        <v>98</v>
      </c>
      <c r="W52" t="s">
        <v>857</v>
      </c>
      <c r="X52" t="s">
        <v>858</v>
      </c>
      <c r="Y52" t="s">
        <v>403</v>
      </c>
      <c r="Z52" t="s">
        <v>859</v>
      </c>
      <c r="AA52" t="s">
        <v>860</v>
      </c>
      <c r="AB52" t="s">
        <v>403</v>
      </c>
      <c r="AC52" t="s">
        <v>861</v>
      </c>
      <c r="AD52" t="s">
        <v>862</v>
      </c>
      <c r="AE52" t="s">
        <v>863</v>
      </c>
      <c r="AF52" t="s">
        <v>864</v>
      </c>
      <c r="AG52" t="s">
        <v>865</v>
      </c>
      <c r="AH52" t="s">
        <v>866</v>
      </c>
      <c r="AI52" t="s">
        <v>855</v>
      </c>
      <c r="AJ52" t="str">
        <f t="shared" si="4"/>
        <v>804273062402</v>
      </c>
      <c r="AL52">
        <v>1</v>
      </c>
      <c r="AM52" t="s">
        <v>19</v>
      </c>
      <c r="AN52" t="s">
        <v>867</v>
      </c>
      <c r="AO52" t="s">
        <v>21</v>
      </c>
      <c r="AP52" t="s">
        <v>868</v>
      </c>
      <c r="AQ52" t="s">
        <v>867</v>
      </c>
      <c r="AS52" t="s">
        <v>869</v>
      </c>
      <c r="AV52">
        <v>55.94</v>
      </c>
      <c r="AW52">
        <v>81.48</v>
      </c>
      <c r="AX52" t="s">
        <v>870</v>
      </c>
    </row>
    <row r="53" spans="1:50">
      <c r="A53" t="s">
        <v>871</v>
      </c>
      <c r="B53" t="s">
        <v>1</v>
      </c>
      <c r="C53" t="str">
        <f t="shared" si="3"/>
        <v>DOES THE COMPANY THAT MAKES PURINA® START &amp; GROW® MEDICATED CHICK FOOD 804273057408 HAVE A WEBSITE</v>
      </c>
      <c r="D53" t="s">
        <v>2</v>
      </c>
      <c r="E53" t="s">
        <v>871</v>
      </c>
      <c r="F53" t="s">
        <v>1037</v>
      </c>
      <c r="J53" t="s">
        <v>1141</v>
      </c>
      <c r="K53" s="1" t="s">
        <v>3</v>
      </c>
      <c r="O53" t="s">
        <v>1073</v>
      </c>
      <c r="P53" t="s">
        <v>872</v>
      </c>
      <c r="R53" t="s">
        <v>47</v>
      </c>
      <c r="V53" t="s">
        <v>438</v>
      </c>
      <c r="W53" t="s">
        <v>873</v>
      </c>
      <c r="X53" t="s">
        <v>874</v>
      </c>
      <c r="Y53" t="s">
        <v>875</v>
      </c>
      <c r="Z53" t="s">
        <v>876</v>
      </c>
      <c r="AA53" t="s">
        <v>877</v>
      </c>
      <c r="AB53" t="s">
        <v>875</v>
      </c>
      <c r="AC53" t="s">
        <v>878</v>
      </c>
      <c r="AD53" t="s">
        <v>879</v>
      </c>
      <c r="AE53" t="s">
        <v>880</v>
      </c>
      <c r="AF53" t="s">
        <v>617</v>
      </c>
      <c r="AG53" t="s">
        <v>881</v>
      </c>
      <c r="AH53" t="s">
        <v>882</v>
      </c>
      <c r="AI53" t="s">
        <v>872</v>
      </c>
      <c r="AJ53" t="str">
        <f t="shared" si="4"/>
        <v>804273057408</v>
      </c>
      <c r="AL53">
        <v>1</v>
      </c>
      <c r="AM53" t="s">
        <v>19</v>
      </c>
      <c r="AN53" t="s">
        <v>883</v>
      </c>
      <c r="AO53" t="s">
        <v>21</v>
      </c>
      <c r="AP53" t="s">
        <v>884</v>
      </c>
      <c r="AQ53" t="s">
        <v>883</v>
      </c>
      <c r="AS53" t="s">
        <v>603</v>
      </c>
      <c r="AV53">
        <v>66.42</v>
      </c>
      <c r="AW53">
        <v>88.76</v>
      </c>
      <c r="AX53" t="s">
        <v>885</v>
      </c>
    </row>
    <row r="54" spans="1:50">
      <c r="A54" t="s">
        <v>139</v>
      </c>
      <c r="B54" t="s">
        <v>1</v>
      </c>
      <c r="C54" t="str">
        <f t="shared" si="3"/>
        <v>DOES THE COMPANY THAT MAKES PURINA® START &amp; GROW® MEDICATED CHICK FOOD 804273057392 HAVE A WEBSITE</v>
      </c>
      <c r="D54" t="s">
        <v>2</v>
      </c>
      <c r="E54" t="s">
        <v>871</v>
      </c>
      <c r="F54" t="s">
        <v>1037</v>
      </c>
      <c r="J54" t="s">
        <v>1141</v>
      </c>
      <c r="K54" s="1" t="s">
        <v>3</v>
      </c>
      <c r="O54" t="s">
        <v>1079</v>
      </c>
      <c r="P54" t="s">
        <v>886</v>
      </c>
      <c r="R54" t="s">
        <v>47</v>
      </c>
      <c r="V54" t="s">
        <v>669</v>
      </c>
      <c r="W54" t="s">
        <v>887</v>
      </c>
      <c r="X54" t="s">
        <v>888</v>
      </c>
      <c r="Y54" t="s">
        <v>857</v>
      </c>
      <c r="Z54" t="s">
        <v>889</v>
      </c>
      <c r="AA54" t="s">
        <v>890</v>
      </c>
      <c r="AB54" t="s">
        <v>857</v>
      </c>
      <c r="AC54" t="s">
        <v>891</v>
      </c>
      <c r="AD54" t="s">
        <v>892</v>
      </c>
      <c r="AE54" t="s">
        <v>893</v>
      </c>
      <c r="AF54" t="s">
        <v>819</v>
      </c>
      <c r="AG54" t="s">
        <v>894</v>
      </c>
      <c r="AH54" t="s">
        <v>895</v>
      </c>
      <c r="AI54" t="s">
        <v>886</v>
      </c>
      <c r="AJ54" t="str">
        <f t="shared" si="4"/>
        <v>804273057392</v>
      </c>
      <c r="AL54">
        <v>1</v>
      </c>
      <c r="AM54" t="s">
        <v>19</v>
      </c>
      <c r="AN54" t="s">
        <v>896</v>
      </c>
      <c r="AO54" t="s">
        <v>21</v>
      </c>
      <c r="AP54" t="s">
        <v>897</v>
      </c>
      <c r="AQ54" t="s">
        <v>896</v>
      </c>
      <c r="AR54" t="s">
        <v>840</v>
      </c>
      <c r="AS54" t="s">
        <v>24</v>
      </c>
      <c r="AV54">
        <v>42.71</v>
      </c>
      <c r="AW54">
        <v>56.6</v>
      </c>
      <c r="AX54" t="s">
        <v>898</v>
      </c>
    </row>
    <row r="55" spans="1:50">
      <c r="A55" t="s">
        <v>899</v>
      </c>
      <c r="B55" t="s">
        <v>1</v>
      </c>
      <c r="C55" t="str">
        <f t="shared" si="3"/>
        <v>DOES THE COMPANY THAT MAKES PURINA® START &amp; GROW® NON-MEDICATED CHICK FOOD 804273057422 HAVE A WEBSITE</v>
      </c>
      <c r="D55" t="s">
        <v>2</v>
      </c>
      <c r="J55" t="s">
        <v>1142</v>
      </c>
      <c r="K55" s="1" t="s">
        <v>3</v>
      </c>
      <c r="O55" t="s">
        <v>1079</v>
      </c>
      <c r="P55" t="s">
        <v>900</v>
      </c>
      <c r="V55" t="s">
        <v>502</v>
      </c>
      <c r="W55" t="s">
        <v>901</v>
      </c>
      <c r="X55" t="s">
        <v>902</v>
      </c>
      <c r="Y55" t="s">
        <v>449</v>
      </c>
      <c r="Z55" t="s">
        <v>903</v>
      </c>
      <c r="AA55" t="s">
        <v>904</v>
      </c>
      <c r="AB55" t="s">
        <v>449</v>
      </c>
      <c r="AC55" t="s">
        <v>905</v>
      </c>
      <c r="AD55" t="s">
        <v>906</v>
      </c>
      <c r="AE55" t="s">
        <v>907</v>
      </c>
      <c r="AF55" t="s">
        <v>908</v>
      </c>
      <c r="AG55" t="s">
        <v>909</v>
      </c>
      <c r="AH55" t="s">
        <v>910</v>
      </c>
      <c r="AI55" t="s">
        <v>900</v>
      </c>
      <c r="AJ55" t="str">
        <f t="shared" si="4"/>
        <v>804273057422</v>
      </c>
      <c r="AL55">
        <v>1</v>
      </c>
      <c r="AM55" t="s">
        <v>19</v>
      </c>
      <c r="AN55" t="s">
        <v>911</v>
      </c>
      <c r="AO55" t="s">
        <v>21</v>
      </c>
      <c r="AP55" t="s">
        <v>912</v>
      </c>
      <c r="AQ55" t="s">
        <v>911</v>
      </c>
      <c r="AS55" t="s">
        <v>913</v>
      </c>
      <c r="AV55">
        <v>38.99</v>
      </c>
      <c r="AW55">
        <v>41.89</v>
      </c>
      <c r="AX55" t="s">
        <v>914</v>
      </c>
    </row>
    <row r="56" spans="1:50">
      <c r="A56" t="s">
        <v>915</v>
      </c>
      <c r="B56" t="s">
        <v>1</v>
      </c>
      <c r="C56" t="str">
        <f t="shared" si="3"/>
        <v>DOES THE COMPANY THAT MAKES PURINA® STRATEGY® PROFESSIONAL FORMULA GX HORSE FEED 804273055596 HAVE A WEBSITE</v>
      </c>
      <c r="D56" t="s">
        <v>2</v>
      </c>
      <c r="J56" t="s">
        <v>1143</v>
      </c>
      <c r="K56" s="1" t="s">
        <v>3</v>
      </c>
      <c r="O56" t="s">
        <v>1073</v>
      </c>
      <c r="P56" t="s">
        <v>916</v>
      </c>
      <c r="Q56" t="s">
        <v>917</v>
      </c>
      <c r="R56" t="s">
        <v>47</v>
      </c>
      <c r="U56" t="s">
        <v>6</v>
      </c>
      <c r="V56" t="s">
        <v>114</v>
      </c>
      <c r="W56" t="s">
        <v>918</v>
      </c>
      <c r="X56" t="s">
        <v>919</v>
      </c>
      <c r="Y56" t="s">
        <v>920</v>
      </c>
      <c r="Z56" t="s">
        <v>921</v>
      </c>
      <c r="AA56" t="s">
        <v>922</v>
      </c>
      <c r="AB56" t="s">
        <v>920</v>
      </c>
      <c r="AC56" t="s">
        <v>923</v>
      </c>
      <c r="AD56" t="s">
        <v>924</v>
      </c>
      <c r="AE56" t="s">
        <v>925</v>
      </c>
      <c r="AF56" t="s">
        <v>292</v>
      </c>
      <c r="AG56" t="s">
        <v>926</v>
      </c>
      <c r="AH56" t="s">
        <v>927</v>
      </c>
      <c r="AI56" t="s">
        <v>916</v>
      </c>
      <c r="AJ56" t="str">
        <f t="shared" si="4"/>
        <v>804273055596</v>
      </c>
      <c r="AL56">
        <v>1</v>
      </c>
      <c r="AM56" t="s">
        <v>19</v>
      </c>
      <c r="AN56" t="s">
        <v>928</v>
      </c>
      <c r="AO56" t="s">
        <v>21</v>
      </c>
      <c r="AP56" t="s">
        <v>929</v>
      </c>
      <c r="AQ56" t="s">
        <v>930</v>
      </c>
      <c r="AR56" t="s">
        <v>263</v>
      </c>
      <c r="AS56" t="s">
        <v>24</v>
      </c>
      <c r="AV56">
        <v>50.29</v>
      </c>
      <c r="AW56">
        <v>75.75</v>
      </c>
      <c r="AX56" t="s">
        <v>931</v>
      </c>
    </row>
    <row r="57" spans="1:50">
      <c r="A57" t="s">
        <v>932</v>
      </c>
      <c r="B57" t="s">
        <v>1</v>
      </c>
      <c r="C57" t="str">
        <f t="shared" si="3"/>
        <v>DOES THE COMPANY THAT MAKES PURINA® STRATEGY® HEALTHY EDGE® HORSE FEED 804273055589 HAVE A WEBSITE</v>
      </c>
      <c r="D57" t="s">
        <v>2</v>
      </c>
      <c r="J57" t="s">
        <v>1144</v>
      </c>
      <c r="K57" s="1" t="s">
        <v>3</v>
      </c>
      <c r="O57" t="s">
        <v>1073</v>
      </c>
      <c r="P57" t="s">
        <v>933</v>
      </c>
      <c r="Q57" t="s">
        <v>934</v>
      </c>
      <c r="R57" t="s">
        <v>47</v>
      </c>
      <c r="U57" t="s">
        <v>6</v>
      </c>
      <c r="V57" t="s">
        <v>653</v>
      </c>
      <c r="W57" t="s">
        <v>935</v>
      </c>
      <c r="X57" t="s">
        <v>936</v>
      </c>
      <c r="Y57" t="s">
        <v>937</v>
      </c>
      <c r="Z57" t="s">
        <v>938</v>
      </c>
      <c r="AA57" t="s">
        <v>939</v>
      </c>
      <c r="AB57" t="s">
        <v>937</v>
      </c>
      <c r="AC57" t="s">
        <v>940</v>
      </c>
      <c r="AD57" t="s">
        <v>941</v>
      </c>
      <c r="AE57" t="s">
        <v>942</v>
      </c>
      <c r="AF57" t="s">
        <v>292</v>
      </c>
      <c r="AG57" t="s">
        <v>943</v>
      </c>
      <c r="AH57" t="s">
        <v>944</v>
      </c>
      <c r="AI57" t="s">
        <v>933</v>
      </c>
      <c r="AJ57" t="str">
        <f t="shared" si="4"/>
        <v>804273055589</v>
      </c>
      <c r="AL57">
        <v>1</v>
      </c>
      <c r="AM57" t="s">
        <v>19</v>
      </c>
      <c r="AN57" t="s">
        <v>945</v>
      </c>
      <c r="AO57" t="s">
        <v>945</v>
      </c>
      <c r="AP57" t="s">
        <v>946</v>
      </c>
      <c r="AQ57" t="s">
        <v>945</v>
      </c>
      <c r="AR57" t="s">
        <v>263</v>
      </c>
      <c r="AS57" t="s">
        <v>24</v>
      </c>
      <c r="AV57">
        <v>54.56</v>
      </c>
      <c r="AW57">
        <v>90.29</v>
      </c>
      <c r="AX57" t="s">
        <v>947</v>
      </c>
    </row>
    <row r="58" spans="1:50">
      <c r="A58" t="s">
        <v>101</v>
      </c>
      <c r="B58" t="s">
        <v>1</v>
      </c>
      <c r="C58" t="str">
        <f t="shared" si="3"/>
        <v>DOES THE COMPANY THAT MAKES PURINA® ULTIUM® COMPETITION HORSE FORMULA 804273031439 HAVE A WEBSITE</v>
      </c>
      <c r="D58" t="s">
        <v>2</v>
      </c>
      <c r="J58" t="s">
        <v>1145</v>
      </c>
      <c r="K58" s="1" t="s">
        <v>3</v>
      </c>
      <c r="O58" t="s">
        <v>1073</v>
      </c>
      <c r="P58" t="s">
        <v>948</v>
      </c>
      <c r="Q58" t="s">
        <v>949</v>
      </c>
      <c r="R58" t="s">
        <v>47</v>
      </c>
      <c r="V58" t="s">
        <v>317</v>
      </c>
      <c r="W58" t="s">
        <v>950</v>
      </c>
      <c r="X58" t="s">
        <v>951</v>
      </c>
      <c r="Y58" t="s">
        <v>952</v>
      </c>
      <c r="Z58" t="s">
        <v>953</v>
      </c>
      <c r="AA58" t="s">
        <v>954</v>
      </c>
      <c r="AB58" t="s">
        <v>952</v>
      </c>
      <c r="AC58" t="s">
        <v>955</v>
      </c>
      <c r="AD58" t="s">
        <v>956</v>
      </c>
      <c r="AE58" t="s">
        <v>957</v>
      </c>
      <c r="AF58" t="s">
        <v>958</v>
      </c>
      <c r="AG58" t="s">
        <v>959</v>
      </c>
      <c r="AH58" t="s">
        <v>960</v>
      </c>
      <c r="AI58" t="s">
        <v>948</v>
      </c>
      <c r="AJ58" t="str">
        <f t="shared" si="4"/>
        <v>804273031439</v>
      </c>
      <c r="AL58">
        <v>1</v>
      </c>
      <c r="AM58" t="s">
        <v>19</v>
      </c>
      <c r="AN58" t="s">
        <v>961</v>
      </c>
      <c r="AO58" t="s">
        <v>21</v>
      </c>
      <c r="AP58" t="s">
        <v>962</v>
      </c>
      <c r="AQ58" t="s">
        <v>961</v>
      </c>
      <c r="AR58" t="s">
        <v>225</v>
      </c>
      <c r="AV58">
        <v>63.2</v>
      </c>
      <c r="AW58">
        <v>94.47</v>
      </c>
      <c r="AX58" t="s">
        <v>963</v>
      </c>
    </row>
    <row r="59" spans="1:50">
      <c r="A59" t="s">
        <v>964</v>
      </c>
      <c r="B59" t="s">
        <v>1</v>
      </c>
      <c r="C59" t="str">
        <f t="shared" si="3"/>
        <v>DOES THE COMPANY THAT MAKES PURINA® ULTIUM® GASTRIC CARE HORSE FEED 804273051857 HAVE A WEBSITE</v>
      </c>
      <c r="D59" t="s">
        <v>2</v>
      </c>
      <c r="J59" t="s">
        <v>1146</v>
      </c>
      <c r="K59" s="1" t="s">
        <v>3</v>
      </c>
      <c r="O59" t="s">
        <v>1073</v>
      </c>
      <c r="P59" t="s">
        <v>965</v>
      </c>
      <c r="V59" t="s">
        <v>339</v>
      </c>
      <c r="W59" t="s">
        <v>966</v>
      </c>
      <c r="X59" t="s">
        <v>967</v>
      </c>
      <c r="Y59" t="s">
        <v>968</v>
      </c>
      <c r="Z59" t="s">
        <v>969</v>
      </c>
      <c r="AA59" t="s">
        <v>970</v>
      </c>
      <c r="AB59" t="s">
        <v>968</v>
      </c>
      <c r="AC59" t="s">
        <v>971</v>
      </c>
      <c r="AD59" t="s">
        <v>972</v>
      </c>
      <c r="AE59" t="s">
        <v>973</v>
      </c>
      <c r="AF59" t="s">
        <v>974</v>
      </c>
      <c r="AG59" t="s">
        <v>975</v>
      </c>
      <c r="AH59" t="s">
        <v>976</v>
      </c>
      <c r="AI59" t="s">
        <v>965</v>
      </c>
      <c r="AJ59" t="str">
        <f t="shared" si="4"/>
        <v>804273051857</v>
      </c>
      <c r="AL59">
        <v>1</v>
      </c>
      <c r="AM59" t="s">
        <v>19</v>
      </c>
      <c r="AN59" t="s">
        <v>977</v>
      </c>
      <c r="AO59" t="s">
        <v>21</v>
      </c>
      <c r="AP59" t="s">
        <v>978</v>
      </c>
      <c r="AQ59" t="s">
        <v>979</v>
      </c>
      <c r="AR59" t="s">
        <v>263</v>
      </c>
      <c r="AS59" t="s">
        <v>869</v>
      </c>
      <c r="AV59">
        <v>64.08</v>
      </c>
      <c r="AW59">
        <v>94.36</v>
      </c>
      <c r="AX59" t="s">
        <v>980</v>
      </c>
    </row>
    <row r="60" spans="1:50">
      <c r="A60" t="s">
        <v>981</v>
      </c>
      <c r="B60" t="s">
        <v>65</v>
      </c>
      <c r="C60" t="str">
        <f t="shared" si="3"/>
        <v>DOES THE COMPANY THAT MAKES PURINA® ULTIUM® GROWTH HORSE FORMULA 804273072159 HAVE A WEBSITE</v>
      </c>
      <c r="D60" t="s">
        <v>2</v>
      </c>
      <c r="J60" t="s">
        <v>1147</v>
      </c>
      <c r="K60" s="1" t="s">
        <v>3</v>
      </c>
      <c r="O60" t="s">
        <v>1073</v>
      </c>
      <c r="P60" t="s">
        <v>982</v>
      </c>
      <c r="V60" t="s">
        <v>572</v>
      </c>
      <c r="W60" t="s">
        <v>342</v>
      </c>
      <c r="X60" t="s">
        <v>983</v>
      </c>
      <c r="Y60" t="s">
        <v>587</v>
      </c>
      <c r="Z60" t="s">
        <v>984</v>
      </c>
      <c r="AA60" t="s">
        <v>985</v>
      </c>
      <c r="AB60" t="s">
        <v>587</v>
      </c>
      <c r="AC60" t="s">
        <v>986</v>
      </c>
      <c r="AD60" t="s">
        <v>987</v>
      </c>
      <c r="AE60" t="s">
        <v>988</v>
      </c>
      <c r="AF60" t="s">
        <v>438</v>
      </c>
      <c r="AG60" t="s">
        <v>989</v>
      </c>
      <c r="AH60" t="s">
        <v>990</v>
      </c>
      <c r="AI60" t="s">
        <v>982</v>
      </c>
      <c r="AJ60" t="str">
        <f t="shared" si="4"/>
        <v>804273072159</v>
      </c>
      <c r="AL60">
        <v>1</v>
      </c>
      <c r="AM60" t="s">
        <v>19</v>
      </c>
      <c r="AN60" t="s">
        <v>991</v>
      </c>
      <c r="AO60" t="s">
        <v>21</v>
      </c>
      <c r="AP60" t="s">
        <v>992</v>
      </c>
      <c r="AQ60" t="s">
        <v>991</v>
      </c>
      <c r="AR60" t="s">
        <v>189</v>
      </c>
      <c r="AS60" t="s">
        <v>993</v>
      </c>
      <c r="AV60">
        <v>67.989999999999995</v>
      </c>
      <c r="AW60">
        <v>93.15</v>
      </c>
      <c r="AX60" t="s">
        <v>994</v>
      </c>
    </row>
    <row r="61" spans="1:50">
      <c r="A61" t="s">
        <v>995</v>
      </c>
      <c r="B61" t="s">
        <v>1</v>
      </c>
      <c r="C61" t="str">
        <f t="shared" si="3"/>
        <v>DOES THE COMPANY THAT MAKES PURINA® WELLSOLVE L/S® HORSE FEED 883576004555 HAVE A WEBSITE</v>
      </c>
      <c r="D61" t="s">
        <v>2</v>
      </c>
      <c r="J61" t="s">
        <v>1148</v>
      </c>
      <c r="K61" s="1" t="s">
        <v>3</v>
      </c>
      <c r="O61" t="s">
        <v>1073</v>
      </c>
      <c r="P61" t="s">
        <v>996</v>
      </c>
      <c r="Q61" t="s">
        <v>997</v>
      </c>
      <c r="R61" t="s">
        <v>47</v>
      </c>
      <c r="V61" t="s">
        <v>198</v>
      </c>
      <c r="W61" t="s">
        <v>998</v>
      </c>
      <c r="X61" t="s">
        <v>999</v>
      </c>
      <c r="Y61" t="s">
        <v>1000</v>
      </c>
      <c r="Z61" t="s">
        <v>1001</v>
      </c>
      <c r="AA61" t="s">
        <v>1002</v>
      </c>
      <c r="AB61" t="s">
        <v>1000</v>
      </c>
      <c r="AC61" t="s">
        <v>1003</v>
      </c>
      <c r="AD61" t="s">
        <v>1004</v>
      </c>
      <c r="AE61" t="s">
        <v>1005</v>
      </c>
      <c r="AF61" t="s">
        <v>1006</v>
      </c>
      <c r="AG61" t="s">
        <v>1007</v>
      </c>
      <c r="AH61" t="s">
        <v>1008</v>
      </c>
      <c r="AI61" t="s">
        <v>996</v>
      </c>
      <c r="AJ61" t="str">
        <f t="shared" si="4"/>
        <v>883576004555</v>
      </c>
      <c r="AL61">
        <v>1</v>
      </c>
      <c r="AM61" t="s">
        <v>19</v>
      </c>
      <c r="AN61" t="s">
        <v>1009</v>
      </c>
      <c r="AO61" t="s">
        <v>21</v>
      </c>
      <c r="AP61" t="s">
        <v>1010</v>
      </c>
      <c r="AQ61" t="s">
        <v>1009</v>
      </c>
      <c r="AR61" t="s">
        <v>263</v>
      </c>
      <c r="AS61" t="s">
        <v>24</v>
      </c>
      <c r="AV61">
        <v>65.989999999999995</v>
      </c>
      <c r="AW61">
        <v>99.75</v>
      </c>
      <c r="AX61" t="s">
        <v>1011</v>
      </c>
    </row>
    <row r="62" spans="1:50">
      <c r="A62" t="s">
        <v>1012</v>
      </c>
      <c r="B62" t="s">
        <v>65</v>
      </c>
      <c r="C62" t="str">
        <f t="shared" si="3"/>
        <v>DOES THE COMPANY THAT MAKES PURINA® WIND &amp; RAIN® SHEEP MINERAL 804273063751 HAVE A WEBSITE</v>
      </c>
      <c r="D62" t="s">
        <v>2</v>
      </c>
      <c r="J62" t="s">
        <v>1149</v>
      </c>
      <c r="K62" s="1" t="s">
        <v>3</v>
      </c>
      <c r="O62" t="s">
        <v>1073</v>
      </c>
      <c r="P62" t="s">
        <v>1013</v>
      </c>
      <c r="V62" t="s">
        <v>484</v>
      </c>
      <c r="W62" t="s">
        <v>1014</v>
      </c>
      <c r="X62" t="s">
        <v>1015</v>
      </c>
      <c r="Y62" t="s">
        <v>1016</v>
      </c>
      <c r="Z62" t="s">
        <v>1017</v>
      </c>
      <c r="AA62" t="s">
        <v>1018</v>
      </c>
      <c r="AB62" t="s">
        <v>1016</v>
      </c>
      <c r="AC62" t="s">
        <v>1019</v>
      </c>
      <c r="AD62" t="s">
        <v>1020</v>
      </c>
      <c r="AE62" t="s">
        <v>1021</v>
      </c>
      <c r="AF62" t="s">
        <v>1022</v>
      </c>
      <c r="AG62" t="s">
        <v>1023</v>
      </c>
      <c r="AH62" t="s">
        <v>1024</v>
      </c>
      <c r="AI62" t="s">
        <v>1013</v>
      </c>
      <c r="AJ62" t="str">
        <f t="shared" si="4"/>
        <v>804273063751</v>
      </c>
      <c r="AL62">
        <v>1</v>
      </c>
      <c r="AM62" t="s">
        <v>19</v>
      </c>
      <c r="AN62" t="s">
        <v>1025</v>
      </c>
      <c r="AO62" t="s">
        <v>21</v>
      </c>
      <c r="AP62" t="s">
        <v>1026</v>
      </c>
      <c r="AQ62" t="s">
        <v>1027</v>
      </c>
      <c r="AV62">
        <v>74.989999999999995</v>
      </c>
      <c r="AW62">
        <v>74.989999999999995</v>
      </c>
      <c r="AX62" t="s">
        <v>1028</v>
      </c>
    </row>
    <row r="63" spans="1:50">
      <c r="A63" t="s">
        <v>1086</v>
      </c>
      <c r="B63" t="s">
        <v>1087</v>
      </c>
      <c r="D63" t="s">
        <v>2</v>
      </c>
      <c r="J63" t="s">
        <v>1150</v>
      </c>
      <c r="K63" s="1" t="s">
        <v>3</v>
      </c>
      <c r="O63" t="s">
        <v>1088</v>
      </c>
      <c r="Q63" t="s">
        <v>1089</v>
      </c>
      <c r="V63" t="s">
        <v>420</v>
      </c>
      <c r="W63" t="s">
        <v>420</v>
      </c>
      <c r="X63" t="s">
        <v>420</v>
      </c>
      <c r="Y63" t="s">
        <v>420</v>
      </c>
      <c r="Z63" t="s">
        <v>420</v>
      </c>
      <c r="AA63" t="s">
        <v>420</v>
      </c>
      <c r="AB63" t="s">
        <v>420</v>
      </c>
      <c r="AC63" t="s">
        <v>420</v>
      </c>
      <c r="AD63" t="s">
        <v>420</v>
      </c>
      <c r="AE63" t="s">
        <v>1090</v>
      </c>
      <c r="AF63" t="s">
        <v>76</v>
      </c>
      <c r="AG63" t="s">
        <v>1091</v>
      </c>
      <c r="AH63" t="s">
        <v>1092</v>
      </c>
      <c r="AJ63" t="str">
        <f t="shared" si="4"/>
        <v/>
      </c>
      <c r="AL63">
        <v>0</v>
      </c>
      <c r="AM63" t="s">
        <v>79</v>
      </c>
    </row>
  </sheetData>
  <sortState xmlns:xlrd2="http://schemas.microsoft.com/office/spreadsheetml/2017/richdata2" ref="A2:AX62">
    <sortCondition ref="J2:J62"/>
  </sortState>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 Geada</dc:creator>
  <cp:lastModifiedBy>Dave Geada</cp:lastModifiedBy>
  <dcterms:created xsi:type="dcterms:W3CDTF">2025-11-03T14:47:20Z</dcterms:created>
  <dcterms:modified xsi:type="dcterms:W3CDTF">2025-11-12T18:56:05Z</dcterms:modified>
</cp:coreProperties>
</file>